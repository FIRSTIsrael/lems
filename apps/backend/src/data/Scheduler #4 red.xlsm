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ocuments\My Documents\FIRST\2023\ניהול תחרויות\תחרות #4\בית אדום\"/>
    </mc:Choice>
  </mc:AlternateContent>
  <xr:revisionPtr revIDLastSave="0" documentId="13_ncr:1_{B23A572B-8747-411A-B57D-411A239CB225}" xr6:coauthVersionLast="47" xr6:coauthVersionMax="47" xr10:uidLastSave="{00000000-0000-0000-0000-000000000000}"/>
  <bookViews>
    <workbookView xWindow="-90" yWindow="-90" windowWidth="19380" windowHeight="10260" tabRatio="685" firstSheet="5" activeTab="8" xr2:uid="{5033EA01-B352-46A0-B8FC-D12730161AA9}"/>
  </bookViews>
  <sheets>
    <sheet name="רשימת הקבוצות" sheetId="1" r:id="rId1"/>
    <sheet name="רשימת קבוצות בית שני" sheetId="11" r:id="rId2"/>
    <sheet name="תכנית לשופט זירה ראשי" sheetId="2" r:id="rId3"/>
    <sheet name="תכנית למתזמני זירה" sheetId="7" r:id="rId4"/>
    <sheet name="תכנית טורניר ידידות" sheetId="10" r:id="rId5"/>
    <sheet name="תכנית חדרי שיפוט" sheetId="3" r:id="rId6"/>
    <sheet name="תכנית לפי קבוצות" sheetId="4" r:id="rId7"/>
    <sheet name="לוז קבוצות" sheetId="6" r:id="rId8"/>
    <sheet name="CSV Export" sheetId="8" r:id="rId9"/>
    <sheet name="תכנון הפסקות" sheetId="9" r:id="rId10"/>
    <sheet name="   " sheetId="5" r:id="rId11"/>
  </sheets>
  <externalReferences>
    <externalReference r:id="rId12"/>
  </externalReferences>
  <definedNames>
    <definedName name="coffee_break">'תכנית לפי קבוצות'!$J$78</definedName>
    <definedName name="color">Table8[Color]</definedName>
    <definedName name="Dates">'רשימת הקבוצות'!$J$10:$J$19</definedName>
    <definedName name="DEL">'תכנון הפסקות'!#REF!</definedName>
    <definedName name="GD">'[1]Raw Data'!$F$105</definedName>
    <definedName name="JB">'תכנון הפסקות'!$C$14</definedName>
    <definedName name="JL">'תכנית לפי קבוצות'!$J$79</definedName>
    <definedName name="JR">'תכנון הפסקות'!$C$13</definedName>
    <definedName name="JS">'תכנית לפי קבוצות'!$J$63</definedName>
    <definedName name="JSD">'[1]Raw Data'!$F$98</definedName>
    <definedName name="N">'תכנית לפי קבוצות'!$J$69</definedName>
    <definedName name="Official_round">'תכנית לפי קבוצות'!$J$67</definedName>
    <definedName name="Opening">'תכנית לפי קבוצות'!$J$61</definedName>
    <definedName name="ORM">'תכנון הפסקות'!$C$12</definedName>
    <definedName name="panel">'תכנית לפי קבוצות'!$J$84</definedName>
    <definedName name="pits">'תכנית לפי קבוצות'!$J$87</definedName>
    <definedName name="PM">'תכנון הפסקות'!$C$11</definedName>
    <definedName name="_xlnm.Print_Area" localSheetId="7">'לוז קבוצות'!$A$1:$O$294,'לוז קבוצות'!$P$1:$T$126</definedName>
    <definedName name="_xlnm.Print_Area" localSheetId="0">'רשימת הקבוצות'!$A$1:$F$50</definedName>
    <definedName name="_xlnm.Print_Area" localSheetId="5">'תכנית חדרי שיפוט'!$L$1:$T$18</definedName>
    <definedName name="_xlnm.Print_Area" localSheetId="4">'תכנית טורניר ידידות'!$A$1:$S$18</definedName>
    <definedName name="_xlnm.Print_Area" localSheetId="3">'תכנית למתזמני זירה'!$A$1:$W$31</definedName>
    <definedName name="_xlnm.Print_Area" localSheetId="6">'תכנית לפי קבוצות'!$AH$5</definedName>
    <definedName name="_xlnm.Print_Area" localSheetId="2">'תכנית לשופט זירה ראשי'!$AA$1:$AK$115</definedName>
    <definedName name="_xlnm.Print_Titles" localSheetId="0">'רשימת הקבוצות'!$2:$2</definedName>
    <definedName name="RM">'תכנית לפי קבוצות'!$J$82</definedName>
    <definedName name="ROOMS">'תכנית לפי קבוצות'!$J$80</definedName>
    <definedName name="RS">'[1]Raw Data'!$F$99</definedName>
    <definedName name="Serial_Number">'רשימת הקבוצות'!$I$6:$I$7</definedName>
    <definedName name="START">'תכנית לפי קבוצות'!$J$62</definedName>
    <definedName name="start_judging">'תכנון הפסקות'!$C$10</definedName>
    <definedName name="start_round_I">'תכנית לפי קבוצות'!$J$71</definedName>
    <definedName name="start_round_II">'תכנית לפי קבוצות'!$J$73</definedName>
    <definedName name="start_round_III">'תכנית לפי קבוצות'!$J$75</definedName>
    <definedName name="start_round_IV">'תכנית לפי קבוצות'!$J$77</definedName>
    <definedName name="Tables">'תכנית לפי קבוצות'!$J$81</definedName>
    <definedName name="tolerance">'תכנית לפי קבוצות'!$J$65</definedName>
    <definedName name="tournament">'תכנית לפי קבוצות'!$J$88</definedName>
    <definedName name="חידון">'תכנית לפי קבוצות'!#REF!</definedName>
    <definedName name="טורניר">'תכנית לפי קבוצות'!#REF!</definedName>
    <definedName name="מסיבוטיקה">'תכנית לפי קבוצות'!$J$91</definedName>
    <definedName name="סיום">'תכנית לפי קבוצות'!$J$92</definedName>
    <definedName name="פרויקטים">'תכנית לפי קבוצות'!$J$89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1" i="8" l="1"/>
  <c r="C102" i="8"/>
  <c r="C103" i="8"/>
  <c r="C104" i="8"/>
  <c r="C105" i="8"/>
  <c r="C106" i="8"/>
  <c r="C100" i="8"/>
  <c r="B100" i="8"/>
  <c r="D1" i="1" a="1"/>
  <c r="D1" i="1" s="1"/>
  <c r="P120" i="6" l="1"/>
  <c r="K120" i="6"/>
  <c r="F120" i="6"/>
  <c r="A120" i="6"/>
  <c r="L289" i="6"/>
  <c r="K289" i="6"/>
  <c r="F289" i="6"/>
  <c r="G289" i="6" s="1"/>
  <c r="B289" i="6"/>
  <c r="A289" i="6"/>
  <c r="K268" i="6"/>
  <c r="L268" i="6" s="1"/>
  <c r="F268" i="6"/>
  <c r="G268" i="6" s="1"/>
  <c r="A268" i="6"/>
  <c r="B268" i="6" s="1"/>
  <c r="K247" i="6"/>
  <c r="L247" i="6" s="1"/>
  <c r="F247" i="6"/>
  <c r="G247" i="6" s="1"/>
  <c r="A247" i="6"/>
  <c r="B247" i="6" s="1"/>
  <c r="K226" i="6"/>
  <c r="L226" i="6" s="1"/>
  <c r="F226" i="6"/>
  <c r="G226" i="6" s="1"/>
  <c r="A226" i="6"/>
  <c r="B226" i="6" s="1"/>
  <c r="K205" i="6"/>
  <c r="L205" i="6" s="1"/>
  <c r="F205" i="6"/>
  <c r="G205" i="6" s="1"/>
  <c r="A205" i="6"/>
  <c r="B205" i="6" s="1"/>
  <c r="K163" i="6"/>
  <c r="L163" i="6" s="1"/>
  <c r="F163" i="6"/>
  <c r="G163" i="6" s="1"/>
  <c r="A163" i="6"/>
  <c r="B163" i="6" s="1"/>
  <c r="K142" i="6"/>
  <c r="L142" i="6" s="1"/>
  <c r="F142" i="6"/>
  <c r="G142" i="6" s="1"/>
  <c r="A142" i="6"/>
  <c r="B142" i="6" s="1"/>
  <c r="K121" i="6"/>
  <c r="L121" i="6" s="1"/>
  <c r="F121" i="6"/>
  <c r="G121" i="6" s="1"/>
  <c r="A121" i="6"/>
  <c r="B121" i="6" s="1"/>
  <c r="K100" i="6"/>
  <c r="L100" i="6" s="1"/>
  <c r="F100" i="6"/>
  <c r="G100" i="6" s="1"/>
  <c r="A100" i="6"/>
  <c r="B100" i="6" s="1"/>
  <c r="L79" i="6"/>
  <c r="K79" i="6"/>
  <c r="F79" i="6"/>
  <c r="G79" i="6" s="1"/>
  <c r="A79" i="6"/>
  <c r="B79" i="6" s="1"/>
  <c r="K58" i="6"/>
  <c r="L58" i="6" s="1"/>
  <c r="F58" i="6"/>
  <c r="G58" i="6" s="1"/>
  <c r="A58" i="6"/>
  <c r="B58" i="6" s="1"/>
  <c r="K37" i="6"/>
  <c r="L37" i="6" s="1"/>
  <c r="F37" i="6"/>
  <c r="G37" i="6" s="1"/>
  <c r="A37" i="6"/>
  <c r="B37" i="6" s="1"/>
  <c r="K16" i="6"/>
  <c r="L16" i="6" s="1"/>
  <c r="F16" i="6"/>
  <c r="G16" i="6" s="1"/>
  <c r="A16" i="6"/>
  <c r="B16" i="6" s="1"/>
  <c r="AA4" i="4" a="1"/>
  <c r="AA4" i="4" s="1"/>
  <c r="AA5" i="4" a="1"/>
  <c r="AA5" i="4" s="1"/>
  <c r="AA6" i="4" a="1"/>
  <c r="AA6" i="4" s="1"/>
  <c r="AA7" i="4" a="1"/>
  <c r="AA7" i="4"/>
  <c r="AA8" i="4" a="1"/>
  <c r="AA8" i="4" s="1"/>
  <c r="AA9" i="4" a="1"/>
  <c r="AA9" i="4" s="1"/>
  <c r="AA10" i="4" a="1"/>
  <c r="AA10" i="4" s="1"/>
  <c r="AA3" i="4" a="1"/>
  <c r="AA3" i="4"/>
  <c r="P15" i="6" l="1"/>
  <c r="K15" i="6"/>
  <c r="F15" i="6"/>
  <c r="A15" i="6"/>
  <c r="K288" i="6"/>
  <c r="F288" i="6"/>
  <c r="A288" i="6"/>
  <c r="K267" i="6"/>
  <c r="F267" i="6"/>
  <c r="A267" i="6"/>
  <c r="K246" i="6"/>
  <c r="F246" i="6"/>
  <c r="A246" i="6"/>
  <c r="K225" i="6"/>
  <c r="F225" i="6"/>
  <c r="A225" i="6"/>
  <c r="K204" i="6"/>
  <c r="F204" i="6"/>
  <c r="A204" i="6"/>
  <c r="K183" i="6"/>
  <c r="F183" i="6"/>
  <c r="A183" i="6"/>
  <c r="K141" i="6"/>
  <c r="F141" i="6"/>
  <c r="A141" i="6"/>
  <c r="K162" i="6"/>
  <c r="F162" i="6"/>
  <c r="A162" i="6"/>
  <c r="P121" i="6"/>
  <c r="P99" i="6"/>
  <c r="K99" i="6"/>
  <c r="F99" i="6"/>
  <c r="A99" i="6"/>
  <c r="P78" i="6"/>
  <c r="K78" i="6"/>
  <c r="F78" i="6"/>
  <c r="A78" i="6"/>
  <c r="P57" i="6"/>
  <c r="K57" i="6"/>
  <c r="F57" i="6"/>
  <c r="A57" i="6"/>
  <c r="B7" i="3"/>
  <c r="B104" i="8" s="1"/>
  <c r="B6" i="3"/>
  <c r="B103" i="8" s="1"/>
  <c r="B5" i="3"/>
  <c r="B102" i="8" s="1"/>
  <c r="B4" i="3"/>
  <c r="B101" i="8" s="1"/>
  <c r="U62" i="4"/>
  <c r="L11" i="3" l="1"/>
  <c r="M5" i="3"/>
  <c r="L290" i="6" l="1"/>
  <c r="G290" i="6"/>
  <c r="B290" i="6"/>
  <c r="M287" i="6"/>
  <c r="N287" i="6" s="1"/>
  <c r="K287" i="6"/>
  <c r="L287" i="6" s="1"/>
  <c r="H287" i="6"/>
  <c r="I287" i="6" s="1"/>
  <c r="F287" i="6"/>
  <c r="G287" i="6" s="1"/>
  <c r="C287" i="6"/>
  <c r="D287" i="6" s="1"/>
  <c r="A287" i="6"/>
  <c r="B287" i="6" s="1"/>
  <c r="M286" i="6"/>
  <c r="N286" i="6" s="1"/>
  <c r="K286" i="6"/>
  <c r="L286" i="6" s="1"/>
  <c r="H286" i="6"/>
  <c r="I286" i="6" s="1"/>
  <c r="F286" i="6"/>
  <c r="G286" i="6" s="1"/>
  <c r="C286" i="6"/>
  <c r="D286" i="6" s="1"/>
  <c r="A286" i="6"/>
  <c r="B286" i="6" s="1"/>
  <c r="M285" i="6"/>
  <c r="N285" i="6" s="1"/>
  <c r="K285" i="6"/>
  <c r="L285" i="6" s="1"/>
  <c r="H285" i="6"/>
  <c r="I285" i="6" s="1"/>
  <c r="F285" i="6"/>
  <c r="G285" i="6" s="1"/>
  <c r="C285" i="6"/>
  <c r="D285" i="6" s="1"/>
  <c r="A285" i="6"/>
  <c r="B285" i="6" s="1"/>
  <c r="M284" i="6"/>
  <c r="N284" i="6" s="1"/>
  <c r="K284" i="6"/>
  <c r="L284" i="6" s="1"/>
  <c r="H284" i="6"/>
  <c r="I284" i="6" s="1"/>
  <c r="F284" i="6"/>
  <c r="G284" i="6" s="1"/>
  <c r="C284" i="6"/>
  <c r="D284" i="6" s="1"/>
  <c r="A284" i="6"/>
  <c r="B284" i="6" s="1"/>
  <c r="M283" i="6"/>
  <c r="N283" i="6" s="1"/>
  <c r="H283" i="6"/>
  <c r="I283" i="6" s="1"/>
  <c r="C283" i="6"/>
  <c r="D283" i="6" s="1"/>
  <c r="L280" i="6"/>
  <c r="G280" i="6"/>
  <c r="B280" i="6"/>
  <c r="L269" i="6"/>
  <c r="G269" i="6"/>
  <c r="B269" i="6"/>
  <c r="M266" i="6"/>
  <c r="N266" i="6" s="1"/>
  <c r="K266" i="6"/>
  <c r="L266" i="6" s="1"/>
  <c r="H266" i="6"/>
  <c r="I266" i="6" s="1"/>
  <c r="F266" i="6"/>
  <c r="G266" i="6" s="1"/>
  <c r="C266" i="6"/>
  <c r="D266" i="6" s="1"/>
  <c r="A266" i="6"/>
  <c r="B266" i="6" s="1"/>
  <c r="M265" i="6"/>
  <c r="N265" i="6" s="1"/>
  <c r="K265" i="6"/>
  <c r="L265" i="6" s="1"/>
  <c r="H265" i="6"/>
  <c r="I265" i="6" s="1"/>
  <c r="F265" i="6"/>
  <c r="G265" i="6" s="1"/>
  <c r="C265" i="6"/>
  <c r="D265" i="6" s="1"/>
  <c r="A265" i="6"/>
  <c r="B265" i="6" s="1"/>
  <c r="M264" i="6"/>
  <c r="N264" i="6" s="1"/>
  <c r="K264" i="6"/>
  <c r="L264" i="6" s="1"/>
  <c r="H264" i="6"/>
  <c r="I264" i="6" s="1"/>
  <c r="F264" i="6"/>
  <c r="G264" i="6" s="1"/>
  <c r="C264" i="6"/>
  <c r="D264" i="6" s="1"/>
  <c r="A264" i="6"/>
  <c r="B264" i="6" s="1"/>
  <c r="M263" i="6"/>
  <c r="N263" i="6" s="1"/>
  <c r="K263" i="6"/>
  <c r="L263" i="6" s="1"/>
  <c r="H263" i="6"/>
  <c r="I263" i="6" s="1"/>
  <c r="F263" i="6"/>
  <c r="G263" i="6" s="1"/>
  <c r="C263" i="6"/>
  <c r="D263" i="6" s="1"/>
  <c r="A263" i="6"/>
  <c r="B263" i="6" s="1"/>
  <c r="M262" i="6"/>
  <c r="N262" i="6" s="1"/>
  <c r="H262" i="6"/>
  <c r="I262" i="6" s="1"/>
  <c r="C262" i="6"/>
  <c r="D262" i="6" s="1"/>
  <c r="L259" i="6"/>
  <c r="G259" i="6"/>
  <c r="B259" i="6"/>
  <c r="L248" i="6"/>
  <c r="G248" i="6"/>
  <c r="B248" i="6"/>
  <c r="M245" i="6"/>
  <c r="N245" i="6" s="1"/>
  <c r="K245" i="6"/>
  <c r="L245" i="6" s="1"/>
  <c r="H245" i="6"/>
  <c r="I245" i="6" s="1"/>
  <c r="F245" i="6"/>
  <c r="G245" i="6" s="1"/>
  <c r="C245" i="6"/>
  <c r="D245" i="6" s="1"/>
  <c r="A245" i="6"/>
  <c r="B245" i="6" s="1"/>
  <c r="M244" i="6"/>
  <c r="N244" i="6" s="1"/>
  <c r="K244" i="6"/>
  <c r="L244" i="6" s="1"/>
  <c r="H244" i="6"/>
  <c r="I244" i="6" s="1"/>
  <c r="F244" i="6"/>
  <c r="G244" i="6" s="1"/>
  <c r="C244" i="6"/>
  <c r="D244" i="6" s="1"/>
  <c r="A244" i="6"/>
  <c r="B244" i="6" s="1"/>
  <c r="M243" i="6"/>
  <c r="N243" i="6" s="1"/>
  <c r="K243" i="6"/>
  <c r="L243" i="6" s="1"/>
  <c r="H243" i="6"/>
  <c r="I243" i="6" s="1"/>
  <c r="F243" i="6"/>
  <c r="G243" i="6" s="1"/>
  <c r="C243" i="6"/>
  <c r="D243" i="6" s="1"/>
  <c r="A243" i="6"/>
  <c r="B243" i="6" s="1"/>
  <c r="M242" i="6"/>
  <c r="N242" i="6" s="1"/>
  <c r="K242" i="6"/>
  <c r="L242" i="6" s="1"/>
  <c r="H242" i="6"/>
  <c r="I242" i="6" s="1"/>
  <c r="F242" i="6"/>
  <c r="G242" i="6" s="1"/>
  <c r="C242" i="6"/>
  <c r="D242" i="6" s="1"/>
  <c r="A242" i="6"/>
  <c r="B242" i="6" s="1"/>
  <c r="M241" i="6"/>
  <c r="N241" i="6" s="1"/>
  <c r="H241" i="6"/>
  <c r="I241" i="6" s="1"/>
  <c r="C241" i="6"/>
  <c r="D241" i="6" s="1"/>
  <c r="L238" i="6"/>
  <c r="G238" i="6"/>
  <c r="B238" i="6"/>
  <c r="L227" i="6"/>
  <c r="G227" i="6"/>
  <c r="B227" i="6"/>
  <c r="M224" i="6"/>
  <c r="N224" i="6" s="1"/>
  <c r="K224" i="6"/>
  <c r="L224" i="6" s="1"/>
  <c r="H224" i="6"/>
  <c r="I224" i="6" s="1"/>
  <c r="F224" i="6"/>
  <c r="G224" i="6" s="1"/>
  <c r="C224" i="6"/>
  <c r="D224" i="6" s="1"/>
  <c r="A224" i="6"/>
  <c r="B224" i="6" s="1"/>
  <c r="M223" i="6"/>
  <c r="N223" i="6" s="1"/>
  <c r="K223" i="6"/>
  <c r="L223" i="6" s="1"/>
  <c r="H223" i="6"/>
  <c r="I223" i="6" s="1"/>
  <c r="F223" i="6"/>
  <c r="G223" i="6" s="1"/>
  <c r="C223" i="6"/>
  <c r="D223" i="6" s="1"/>
  <c r="A223" i="6"/>
  <c r="B223" i="6" s="1"/>
  <c r="M222" i="6"/>
  <c r="N222" i="6" s="1"/>
  <c r="K222" i="6"/>
  <c r="L222" i="6" s="1"/>
  <c r="H222" i="6"/>
  <c r="I222" i="6" s="1"/>
  <c r="F222" i="6"/>
  <c r="G222" i="6" s="1"/>
  <c r="C222" i="6"/>
  <c r="D222" i="6" s="1"/>
  <c r="A222" i="6"/>
  <c r="B222" i="6" s="1"/>
  <c r="M221" i="6"/>
  <c r="N221" i="6" s="1"/>
  <c r="K221" i="6"/>
  <c r="L221" i="6" s="1"/>
  <c r="H221" i="6"/>
  <c r="I221" i="6" s="1"/>
  <c r="F221" i="6"/>
  <c r="G221" i="6" s="1"/>
  <c r="C221" i="6"/>
  <c r="D221" i="6" s="1"/>
  <c r="A221" i="6"/>
  <c r="B221" i="6" s="1"/>
  <c r="M220" i="6"/>
  <c r="N220" i="6" s="1"/>
  <c r="H220" i="6"/>
  <c r="I220" i="6" s="1"/>
  <c r="C220" i="6"/>
  <c r="D220" i="6" s="1"/>
  <c r="L217" i="6"/>
  <c r="G217" i="6"/>
  <c r="B217" i="6"/>
  <c r="L206" i="6"/>
  <c r="G206" i="6"/>
  <c r="B206" i="6"/>
  <c r="M203" i="6"/>
  <c r="N203" i="6" s="1"/>
  <c r="K203" i="6"/>
  <c r="L203" i="6" s="1"/>
  <c r="H203" i="6"/>
  <c r="I203" i="6" s="1"/>
  <c r="F203" i="6"/>
  <c r="G203" i="6" s="1"/>
  <c r="C203" i="6"/>
  <c r="D203" i="6" s="1"/>
  <c r="A203" i="6"/>
  <c r="B203" i="6" s="1"/>
  <c r="M202" i="6"/>
  <c r="N202" i="6" s="1"/>
  <c r="K202" i="6"/>
  <c r="L202" i="6" s="1"/>
  <c r="H202" i="6"/>
  <c r="I202" i="6" s="1"/>
  <c r="F202" i="6"/>
  <c r="G202" i="6" s="1"/>
  <c r="C202" i="6"/>
  <c r="D202" i="6" s="1"/>
  <c r="A202" i="6"/>
  <c r="B202" i="6" s="1"/>
  <c r="M201" i="6"/>
  <c r="N201" i="6" s="1"/>
  <c r="K201" i="6"/>
  <c r="L201" i="6" s="1"/>
  <c r="H201" i="6"/>
  <c r="I201" i="6" s="1"/>
  <c r="F201" i="6"/>
  <c r="G201" i="6" s="1"/>
  <c r="C201" i="6"/>
  <c r="D201" i="6" s="1"/>
  <c r="A201" i="6"/>
  <c r="B201" i="6" s="1"/>
  <c r="M200" i="6"/>
  <c r="N200" i="6" s="1"/>
  <c r="K200" i="6"/>
  <c r="L200" i="6" s="1"/>
  <c r="H200" i="6"/>
  <c r="I200" i="6" s="1"/>
  <c r="F200" i="6"/>
  <c r="G200" i="6" s="1"/>
  <c r="C200" i="6"/>
  <c r="D200" i="6" s="1"/>
  <c r="A200" i="6"/>
  <c r="B200" i="6" s="1"/>
  <c r="M199" i="6"/>
  <c r="N199" i="6" s="1"/>
  <c r="H199" i="6"/>
  <c r="I199" i="6" s="1"/>
  <c r="C199" i="6"/>
  <c r="D199" i="6" s="1"/>
  <c r="L196" i="6"/>
  <c r="G196" i="6"/>
  <c r="B196" i="6"/>
  <c r="L185" i="6"/>
  <c r="G185" i="6"/>
  <c r="B185" i="6"/>
  <c r="K184" i="6"/>
  <c r="L184" i="6" s="1"/>
  <c r="F184" i="6"/>
  <c r="G184" i="6" s="1"/>
  <c r="A184" i="6"/>
  <c r="B184" i="6" s="1"/>
  <c r="M182" i="6"/>
  <c r="N182" i="6" s="1"/>
  <c r="K182" i="6"/>
  <c r="L182" i="6" s="1"/>
  <c r="H182" i="6"/>
  <c r="I182" i="6" s="1"/>
  <c r="F182" i="6"/>
  <c r="G182" i="6" s="1"/>
  <c r="C182" i="6"/>
  <c r="D182" i="6" s="1"/>
  <c r="A182" i="6"/>
  <c r="B182" i="6" s="1"/>
  <c r="M181" i="6"/>
  <c r="N181" i="6" s="1"/>
  <c r="K181" i="6"/>
  <c r="L181" i="6" s="1"/>
  <c r="H181" i="6"/>
  <c r="I181" i="6" s="1"/>
  <c r="F181" i="6"/>
  <c r="G181" i="6" s="1"/>
  <c r="C181" i="6"/>
  <c r="D181" i="6" s="1"/>
  <c r="A181" i="6"/>
  <c r="B181" i="6" s="1"/>
  <c r="M180" i="6"/>
  <c r="N180" i="6" s="1"/>
  <c r="K180" i="6"/>
  <c r="L180" i="6" s="1"/>
  <c r="H180" i="6"/>
  <c r="I180" i="6" s="1"/>
  <c r="F180" i="6"/>
  <c r="G180" i="6" s="1"/>
  <c r="C180" i="6"/>
  <c r="D180" i="6" s="1"/>
  <c r="A180" i="6"/>
  <c r="B180" i="6" s="1"/>
  <c r="M179" i="6"/>
  <c r="N179" i="6" s="1"/>
  <c r="K179" i="6"/>
  <c r="L179" i="6" s="1"/>
  <c r="H179" i="6"/>
  <c r="I179" i="6" s="1"/>
  <c r="F179" i="6"/>
  <c r="G179" i="6" s="1"/>
  <c r="C179" i="6"/>
  <c r="D179" i="6" s="1"/>
  <c r="A179" i="6"/>
  <c r="B179" i="6" s="1"/>
  <c r="M178" i="6"/>
  <c r="N178" i="6" s="1"/>
  <c r="H178" i="6"/>
  <c r="I178" i="6" s="1"/>
  <c r="C178" i="6"/>
  <c r="D178" i="6" s="1"/>
  <c r="L175" i="6"/>
  <c r="G175" i="6"/>
  <c r="B175" i="6"/>
  <c r="L164" i="6"/>
  <c r="G164" i="6"/>
  <c r="B164" i="6"/>
  <c r="M161" i="6"/>
  <c r="N161" i="6" s="1"/>
  <c r="K161" i="6"/>
  <c r="L161" i="6" s="1"/>
  <c r="H161" i="6"/>
  <c r="I161" i="6" s="1"/>
  <c r="F161" i="6"/>
  <c r="G161" i="6" s="1"/>
  <c r="C161" i="6"/>
  <c r="D161" i="6" s="1"/>
  <c r="A161" i="6"/>
  <c r="B161" i="6" s="1"/>
  <c r="M160" i="6"/>
  <c r="N160" i="6" s="1"/>
  <c r="K160" i="6"/>
  <c r="L160" i="6" s="1"/>
  <c r="H160" i="6"/>
  <c r="I160" i="6" s="1"/>
  <c r="F160" i="6"/>
  <c r="G160" i="6" s="1"/>
  <c r="C160" i="6"/>
  <c r="D160" i="6" s="1"/>
  <c r="A160" i="6"/>
  <c r="B160" i="6" s="1"/>
  <c r="M159" i="6"/>
  <c r="N159" i="6" s="1"/>
  <c r="K159" i="6"/>
  <c r="L159" i="6" s="1"/>
  <c r="H159" i="6"/>
  <c r="I159" i="6" s="1"/>
  <c r="F159" i="6"/>
  <c r="G159" i="6" s="1"/>
  <c r="C159" i="6"/>
  <c r="D159" i="6" s="1"/>
  <c r="A159" i="6"/>
  <c r="B159" i="6" s="1"/>
  <c r="M158" i="6"/>
  <c r="N158" i="6" s="1"/>
  <c r="K158" i="6"/>
  <c r="L158" i="6" s="1"/>
  <c r="H158" i="6"/>
  <c r="I158" i="6" s="1"/>
  <c r="F158" i="6"/>
  <c r="G158" i="6" s="1"/>
  <c r="C158" i="6"/>
  <c r="D158" i="6" s="1"/>
  <c r="A158" i="6"/>
  <c r="B158" i="6" s="1"/>
  <c r="M157" i="6"/>
  <c r="N157" i="6" s="1"/>
  <c r="H157" i="6"/>
  <c r="I157" i="6" s="1"/>
  <c r="C157" i="6"/>
  <c r="D157" i="6" s="1"/>
  <c r="L154" i="6"/>
  <c r="G154" i="6"/>
  <c r="B154" i="6"/>
  <c r="L143" i="6"/>
  <c r="G143" i="6"/>
  <c r="B143" i="6"/>
  <c r="M140" i="6"/>
  <c r="N140" i="6" s="1"/>
  <c r="K140" i="6"/>
  <c r="L140" i="6" s="1"/>
  <c r="H140" i="6"/>
  <c r="I140" i="6" s="1"/>
  <c r="F140" i="6"/>
  <c r="G140" i="6" s="1"/>
  <c r="C140" i="6"/>
  <c r="D140" i="6" s="1"/>
  <c r="A140" i="6"/>
  <c r="B140" i="6" s="1"/>
  <c r="M139" i="6"/>
  <c r="N139" i="6" s="1"/>
  <c r="K139" i="6"/>
  <c r="L139" i="6" s="1"/>
  <c r="H139" i="6"/>
  <c r="I139" i="6" s="1"/>
  <c r="F139" i="6"/>
  <c r="G139" i="6" s="1"/>
  <c r="C139" i="6"/>
  <c r="D139" i="6" s="1"/>
  <c r="A139" i="6"/>
  <c r="B139" i="6" s="1"/>
  <c r="M138" i="6"/>
  <c r="N138" i="6" s="1"/>
  <c r="K138" i="6"/>
  <c r="L138" i="6" s="1"/>
  <c r="H138" i="6"/>
  <c r="I138" i="6" s="1"/>
  <c r="F138" i="6"/>
  <c r="G138" i="6" s="1"/>
  <c r="C138" i="6"/>
  <c r="D138" i="6" s="1"/>
  <c r="A138" i="6"/>
  <c r="B138" i="6" s="1"/>
  <c r="M137" i="6"/>
  <c r="N137" i="6" s="1"/>
  <c r="K137" i="6"/>
  <c r="L137" i="6" s="1"/>
  <c r="H137" i="6"/>
  <c r="I137" i="6" s="1"/>
  <c r="F137" i="6"/>
  <c r="G137" i="6" s="1"/>
  <c r="C137" i="6"/>
  <c r="D137" i="6" s="1"/>
  <c r="A137" i="6"/>
  <c r="B137" i="6" s="1"/>
  <c r="M136" i="6"/>
  <c r="N136" i="6" s="1"/>
  <c r="H136" i="6"/>
  <c r="I136" i="6" s="1"/>
  <c r="C136" i="6"/>
  <c r="D136" i="6" s="1"/>
  <c r="L133" i="6"/>
  <c r="G133" i="6"/>
  <c r="B133" i="6"/>
  <c r="Q122" i="6"/>
  <c r="L122" i="6"/>
  <c r="G122" i="6"/>
  <c r="B122" i="6"/>
  <c r="R119" i="6"/>
  <c r="S119" i="6" s="1"/>
  <c r="P119" i="6"/>
  <c r="Q119" i="6" s="1"/>
  <c r="M119" i="6"/>
  <c r="N119" i="6" s="1"/>
  <c r="K119" i="6"/>
  <c r="L119" i="6" s="1"/>
  <c r="H119" i="6"/>
  <c r="I119" i="6" s="1"/>
  <c r="F119" i="6"/>
  <c r="G119" i="6" s="1"/>
  <c r="C119" i="6"/>
  <c r="D119" i="6" s="1"/>
  <c r="A119" i="6"/>
  <c r="B119" i="6" s="1"/>
  <c r="R118" i="6"/>
  <c r="S118" i="6" s="1"/>
  <c r="P118" i="6"/>
  <c r="Q118" i="6" s="1"/>
  <c r="M118" i="6"/>
  <c r="N118" i="6" s="1"/>
  <c r="K118" i="6"/>
  <c r="L118" i="6" s="1"/>
  <c r="H118" i="6"/>
  <c r="I118" i="6" s="1"/>
  <c r="F118" i="6"/>
  <c r="G118" i="6" s="1"/>
  <c r="C118" i="6"/>
  <c r="D118" i="6" s="1"/>
  <c r="A118" i="6"/>
  <c r="B118" i="6" s="1"/>
  <c r="R117" i="6"/>
  <c r="S117" i="6" s="1"/>
  <c r="P117" i="6"/>
  <c r="Q117" i="6" s="1"/>
  <c r="M117" i="6"/>
  <c r="N117" i="6" s="1"/>
  <c r="K117" i="6"/>
  <c r="L117" i="6" s="1"/>
  <c r="H117" i="6"/>
  <c r="I117" i="6" s="1"/>
  <c r="F117" i="6"/>
  <c r="G117" i="6" s="1"/>
  <c r="C117" i="6"/>
  <c r="D117" i="6" s="1"/>
  <c r="A117" i="6"/>
  <c r="B117" i="6" s="1"/>
  <c r="R116" i="6"/>
  <c r="S116" i="6" s="1"/>
  <c r="Q116" i="6"/>
  <c r="P116" i="6"/>
  <c r="M116" i="6"/>
  <c r="N116" i="6" s="1"/>
  <c r="K116" i="6"/>
  <c r="L116" i="6" s="1"/>
  <c r="H116" i="6"/>
  <c r="I116" i="6" s="1"/>
  <c r="F116" i="6"/>
  <c r="G116" i="6" s="1"/>
  <c r="C116" i="6"/>
  <c r="D116" i="6" s="1"/>
  <c r="A116" i="6"/>
  <c r="B116" i="6" s="1"/>
  <c r="R115" i="6"/>
  <c r="S115" i="6" s="1"/>
  <c r="M115" i="6"/>
  <c r="N115" i="6" s="1"/>
  <c r="H115" i="6"/>
  <c r="I115" i="6" s="1"/>
  <c r="C115" i="6"/>
  <c r="D115" i="6" s="1"/>
  <c r="Q112" i="6"/>
  <c r="L112" i="6"/>
  <c r="G112" i="6"/>
  <c r="B112" i="6"/>
  <c r="Q101" i="6"/>
  <c r="L101" i="6"/>
  <c r="G101" i="6"/>
  <c r="B101" i="6"/>
  <c r="P100" i="6"/>
  <c r="Q100" i="6" s="1"/>
  <c r="R98" i="6"/>
  <c r="S98" i="6" s="1"/>
  <c r="P98" i="6"/>
  <c r="Q98" i="6" s="1"/>
  <c r="M98" i="6"/>
  <c r="N98" i="6" s="1"/>
  <c r="K98" i="6"/>
  <c r="L98" i="6" s="1"/>
  <c r="H98" i="6"/>
  <c r="I98" i="6" s="1"/>
  <c r="F98" i="6"/>
  <c r="G98" i="6" s="1"/>
  <c r="C98" i="6"/>
  <c r="D98" i="6" s="1"/>
  <c r="A98" i="6"/>
  <c r="B98" i="6" s="1"/>
  <c r="R97" i="6"/>
  <c r="S97" i="6" s="1"/>
  <c r="P97" i="6"/>
  <c r="Q97" i="6" s="1"/>
  <c r="M97" i="6"/>
  <c r="N97" i="6" s="1"/>
  <c r="K97" i="6"/>
  <c r="L97" i="6" s="1"/>
  <c r="H97" i="6"/>
  <c r="I97" i="6" s="1"/>
  <c r="F97" i="6"/>
  <c r="G97" i="6" s="1"/>
  <c r="C97" i="6"/>
  <c r="D97" i="6" s="1"/>
  <c r="A97" i="6"/>
  <c r="B97" i="6" s="1"/>
  <c r="R96" i="6"/>
  <c r="S96" i="6" s="1"/>
  <c r="P96" i="6"/>
  <c r="Q96" i="6" s="1"/>
  <c r="M96" i="6"/>
  <c r="N96" i="6" s="1"/>
  <c r="K96" i="6"/>
  <c r="L96" i="6" s="1"/>
  <c r="H96" i="6"/>
  <c r="I96" i="6" s="1"/>
  <c r="F96" i="6"/>
  <c r="G96" i="6" s="1"/>
  <c r="C96" i="6"/>
  <c r="D96" i="6" s="1"/>
  <c r="A96" i="6"/>
  <c r="B96" i="6" s="1"/>
  <c r="R95" i="6"/>
  <c r="S95" i="6" s="1"/>
  <c r="P95" i="6"/>
  <c r="Q95" i="6" s="1"/>
  <c r="M95" i="6"/>
  <c r="N95" i="6" s="1"/>
  <c r="K95" i="6"/>
  <c r="L95" i="6" s="1"/>
  <c r="H95" i="6"/>
  <c r="I95" i="6" s="1"/>
  <c r="F95" i="6"/>
  <c r="G95" i="6" s="1"/>
  <c r="C95" i="6"/>
  <c r="D95" i="6" s="1"/>
  <c r="A95" i="6"/>
  <c r="B95" i="6" s="1"/>
  <c r="R94" i="6"/>
  <c r="S94" i="6" s="1"/>
  <c r="M94" i="6"/>
  <c r="N94" i="6" s="1"/>
  <c r="H94" i="6"/>
  <c r="I94" i="6" s="1"/>
  <c r="C94" i="6"/>
  <c r="D94" i="6" s="1"/>
  <c r="Q91" i="6"/>
  <c r="L91" i="6"/>
  <c r="G91" i="6"/>
  <c r="B91" i="6"/>
  <c r="Q80" i="6"/>
  <c r="L80" i="6"/>
  <c r="G80" i="6"/>
  <c r="B80" i="6"/>
  <c r="P79" i="6"/>
  <c r="Q79" i="6" s="1"/>
  <c r="R77" i="6"/>
  <c r="S77" i="6" s="1"/>
  <c r="P77" i="6"/>
  <c r="Q77" i="6" s="1"/>
  <c r="M77" i="6"/>
  <c r="N77" i="6" s="1"/>
  <c r="K77" i="6"/>
  <c r="L77" i="6" s="1"/>
  <c r="H77" i="6"/>
  <c r="I77" i="6" s="1"/>
  <c r="F77" i="6"/>
  <c r="G77" i="6" s="1"/>
  <c r="C77" i="6"/>
  <c r="D77" i="6" s="1"/>
  <c r="A77" i="6"/>
  <c r="B77" i="6" s="1"/>
  <c r="R76" i="6"/>
  <c r="S76" i="6" s="1"/>
  <c r="P76" i="6"/>
  <c r="Q76" i="6" s="1"/>
  <c r="M76" i="6"/>
  <c r="N76" i="6" s="1"/>
  <c r="K76" i="6"/>
  <c r="L76" i="6" s="1"/>
  <c r="H76" i="6"/>
  <c r="I76" i="6" s="1"/>
  <c r="F76" i="6"/>
  <c r="G76" i="6" s="1"/>
  <c r="C76" i="6"/>
  <c r="D76" i="6" s="1"/>
  <c r="A76" i="6"/>
  <c r="B76" i="6" s="1"/>
  <c r="R75" i="6"/>
  <c r="S75" i="6" s="1"/>
  <c r="P75" i="6"/>
  <c r="Q75" i="6" s="1"/>
  <c r="M75" i="6"/>
  <c r="N75" i="6" s="1"/>
  <c r="K75" i="6"/>
  <c r="L75" i="6" s="1"/>
  <c r="H75" i="6"/>
  <c r="I75" i="6" s="1"/>
  <c r="F75" i="6"/>
  <c r="G75" i="6" s="1"/>
  <c r="C75" i="6"/>
  <c r="D75" i="6" s="1"/>
  <c r="A75" i="6"/>
  <c r="B75" i="6" s="1"/>
  <c r="R74" i="6"/>
  <c r="S74" i="6" s="1"/>
  <c r="P74" i="6"/>
  <c r="Q74" i="6" s="1"/>
  <c r="M74" i="6"/>
  <c r="N74" i="6" s="1"/>
  <c r="K74" i="6"/>
  <c r="L74" i="6" s="1"/>
  <c r="H74" i="6"/>
  <c r="I74" i="6" s="1"/>
  <c r="F74" i="6"/>
  <c r="G74" i="6" s="1"/>
  <c r="C74" i="6"/>
  <c r="D74" i="6" s="1"/>
  <c r="A74" i="6"/>
  <c r="B74" i="6" s="1"/>
  <c r="R73" i="6"/>
  <c r="S73" i="6" s="1"/>
  <c r="M73" i="6"/>
  <c r="N73" i="6" s="1"/>
  <c r="H73" i="6"/>
  <c r="I73" i="6" s="1"/>
  <c r="C73" i="6"/>
  <c r="D73" i="6" s="1"/>
  <c r="Q70" i="6"/>
  <c r="L70" i="6"/>
  <c r="G70" i="6"/>
  <c r="B70" i="6"/>
  <c r="Q59" i="6"/>
  <c r="L59" i="6"/>
  <c r="G59" i="6"/>
  <c r="B59" i="6"/>
  <c r="P58" i="6"/>
  <c r="Q58" i="6" s="1"/>
  <c r="R56" i="6"/>
  <c r="S56" i="6" s="1"/>
  <c r="P56" i="6"/>
  <c r="Q56" i="6" s="1"/>
  <c r="M56" i="6"/>
  <c r="N56" i="6" s="1"/>
  <c r="K56" i="6"/>
  <c r="L56" i="6" s="1"/>
  <c r="H56" i="6"/>
  <c r="I56" i="6" s="1"/>
  <c r="F56" i="6"/>
  <c r="G56" i="6" s="1"/>
  <c r="C56" i="6"/>
  <c r="D56" i="6" s="1"/>
  <c r="A56" i="6"/>
  <c r="B56" i="6" s="1"/>
  <c r="R55" i="6"/>
  <c r="S55" i="6" s="1"/>
  <c r="P55" i="6"/>
  <c r="Q55" i="6" s="1"/>
  <c r="M55" i="6"/>
  <c r="N55" i="6" s="1"/>
  <c r="K55" i="6"/>
  <c r="L55" i="6" s="1"/>
  <c r="H55" i="6"/>
  <c r="I55" i="6" s="1"/>
  <c r="F55" i="6"/>
  <c r="G55" i="6" s="1"/>
  <c r="C55" i="6"/>
  <c r="D55" i="6" s="1"/>
  <c r="A55" i="6"/>
  <c r="B55" i="6" s="1"/>
  <c r="R54" i="6"/>
  <c r="S54" i="6" s="1"/>
  <c r="P54" i="6"/>
  <c r="Q54" i="6" s="1"/>
  <c r="M54" i="6"/>
  <c r="N54" i="6" s="1"/>
  <c r="K54" i="6"/>
  <c r="L54" i="6" s="1"/>
  <c r="H54" i="6"/>
  <c r="I54" i="6" s="1"/>
  <c r="F54" i="6"/>
  <c r="G54" i="6" s="1"/>
  <c r="C54" i="6"/>
  <c r="D54" i="6" s="1"/>
  <c r="A54" i="6"/>
  <c r="B54" i="6" s="1"/>
  <c r="R53" i="6"/>
  <c r="S53" i="6" s="1"/>
  <c r="P53" i="6"/>
  <c r="Q53" i="6" s="1"/>
  <c r="M53" i="6"/>
  <c r="N53" i="6" s="1"/>
  <c r="K53" i="6"/>
  <c r="L53" i="6" s="1"/>
  <c r="H53" i="6"/>
  <c r="I53" i="6" s="1"/>
  <c r="F53" i="6"/>
  <c r="G53" i="6" s="1"/>
  <c r="C53" i="6"/>
  <c r="D53" i="6" s="1"/>
  <c r="A53" i="6"/>
  <c r="B53" i="6" s="1"/>
  <c r="R52" i="6"/>
  <c r="S52" i="6" s="1"/>
  <c r="M52" i="6"/>
  <c r="N52" i="6" s="1"/>
  <c r="H52" i="6"/>
  <c r="I52" i="6" s="1"/>
  <c r="C52" i="6"/>
  <c r="D52" i="6" s="1"/>
  <c r="Q49" i="6"/>
  <c r="L49" i="6"/>
  <c r="G49" i="6"/>
  <c r="B49" i="6"/>
  <c r="Q38" i="6"/>
  <c r="L38" i="6"/>
  <c r="G38" i="6"/>
  <c r="B38" i="6"/>
  <c r="P37" i="6"/>
  <c r="Q37" i="6" s="1"/>
  <c r="R35" i="6"/>
  <c r="S35" i="6" s="1"/>
  <c r="P35" i="6"/>
  <c r="Q35" i="6" s="1"/>
  <c r="M35" i="6"/>
  <c r="N35" i="6" s="1"/>
  <c r="K35" i="6"/>
  <c r="L35" i="6" s="1"/>
  <c r="H35" i="6"/>
  <c r="I35" i="6" s="1"/>
  <c r="F35" i="6"/>
  <c r="G35" i="6" s="1"/>
  <c r="C35" i="6"/>
  <c r="D35" i="6" s="1"/>
  <c r="A35" i="6"/>
  <c r="B35" i="6" s="1"/>
  <c r="R34" i="6"/>
  <c r="S34" i="6" s="1"/>
  <c r="Q34" i="6"/>
  <c r="P34" i="6"/>
  <c r="M34" i="6"/>
  <c r="N34" i="6" s="1"/>
  <c r="K34" i="6"/>
  <c r="L34" i="6" s="1"/>
  <c r="H34" i="6"/>
  <c r="I34" i="6" s="1"/>
  <c r="F34" i="6"/>
  <c r="G34" i="6" s="1"/>
  <c r="C34" i="6"/>
  <c r="D34" i="6" s="1"/>
  <c r="A34" i="6"/>
  <c r="B34" i="6" s="1"/>
  <c r="R33" i="6"/>
  <c r="S33" i="6" s="1"/>
  <c r="P33" i="6"/>
  <c r="Q33" i="6" s="1"/>
  <c r="M33" i="6"/>
  <c r="N33" i="6" s="1"/>
  <c r="K33" i="6"/>
  <c r="L33" i="6" s="1"/>
  <c r="H33" i="6"/>
  <c r="I33" i="6" s="1"/>
  <c r="F33" i="6"/>
  <c r="G33" i="6" s="1"/>
  <c r="C33" i="6"/>
  <c r="D33" i="6" s="1"/>
  <c r="A33" i="6"/>
  <c r="B33" i="6" s="1"/>
  <c r="R32" i="6"/>
  <c r="S32" i="6" s="1"/>
  <c r="P32" i="6"/>
  <c r="Q32" i="6" s="1"/>
  <c r="M32" i="6"/>
  <c r="N32" i="6" s="1"/>
  <c r="K32" i="6"/>
  <c r="L32" i="6" s="1"/>
  <c r="H32" i="6"/>
  <c r="I32" i="6" s="1"/>
  <c r="F32" i="6"/>
  <c r="G32" i="6" s="1"/>
  <c r="C32" i="6"/>
  <c r="D32" i="6" s="1"/>
  <c r="A32" i="6"/>
  <c r="B32" i="6" s="1"/>
  <c r="R31" i="6"/>
  <c r="S31" i="6" s="1"/>
  <c r="M31" i="6"/>
  <c r="N31" i="6" s="1"/>
  <c r="H31" i="6"/>
  <c r="I31" i="6" s="1"/>
  <c r="C31" i="6"/>
  <c r="D31" i="6" s="1"/>
  <c r="Q28" i="6"/>
  <c r="L28" i="6"/>
  <c r="G28" i="6"/>
  <c r="B28" i="6"/>
  <c r="P16" i="6"/>
  <c r="Q16" i="6" s="1"/>
  <c r="P14" i="6"/>
  <c r="Q14" i="6" s="1"/>
  <c r="P13" i="6"/>
  <c r="Q13" i="6" s="1"/>
  <c r="P12" i="6"/>
  <c r="P11" i="6"/>
  <c r="Q11" i="6" s="1"/>
  <c r="K14" i="6"/>
  <c r="L14" i="6" s="1"/>
  <c r="K13" i="6"/>
  <c r="L13" i="6" s="1"/>
  <c r="K12" i="6"/>
  <c r="L12" i="6" s="1"/>
  <c r="K11" i="6"/>
  <c r="L11" i="6" s="1"/>
  <c r="F14" i="6"/>
  <c r="F13" i="6"/>
  <c r="G13" i="6" s="1"/>
  <c r="F12" i="6"/>
  <c r="G12" i="6" s="1"/>
  <c r="F11" i="6"/>
  <c r="G11" i="6" s="1"/>
  <c r="Q17" i="6"/>
  <c r="R14" i="6"/>
  <c r="S14" i="6" s="1"/>
  <c r="R13" i="6"/>
  <c r="S13" i="6" s="1"/>
  <c r="R12" i="6"/>
  <c r="S12" i="6" s="1"/>
  <c r="Q12" i="6"/>
  <c r="R11" i="6"/>
  <c r="S11" i="6" s="1"/>
  <c r="R10" i="6"/>
  <c r="S10" i="6" s="1"/>
  <c r="Q7" i="6"/>
  <c r="L17" i="6"/>
  <c r="M14" i="6"/>
  <c r="N14" i="6" s="1"/>
  <c r="M13" i="6"/>
  <c r="N13" i="6" s="1"/>
  <c r="M12" i="6"/>
  <c r="N12" i="6" s="1"/>
  <c r="M11" i="6"/>
  <c r="N11" i="6" s="1"/>
  <c r="M10" i="6"/>
  <c r="N10" i="6" s="1"/>
  <c r="L7" i="6"/>
  <c r="G17" i="6"/>
  <c r="H14" i="6"/>
  <c r="I14" i="6" s="1"/>
  <c r="G14" i="6"/>
  <c r="H13" i="6"/>
  <c r="I13" i="6" s="1"/>
  <c r="H12" i="6"/>
  <c r="I12" i="6" s="1"/>
  <c r="H11" i="6"/>
  <c r="I11" i="6" s="1"/>
  <c r="H10" i="6"/>
  <c r="I10" i="6" s="1"/>
  <c r="G7" i="6"/>
  <c r="L5" i="3"/>
  <c r="L123" i="8" l="1"/>
  <c r="L122" i="8"/>
  <c r="L121" i="8"/>
  <c r="L120" i="8"/>
  <c r="L119" i="8"/>
  <c r="L118" i="8"/>
  <c r="L117" i="8"/>
  <c r="L116" i="8"/>
  <c r="L115" i="8"/>
  <c r="L114" i="8"/>
  <c r="L113" i="8"/>
  <c r="I112" i="8"/>
  <c r="H112" i="8"/>
  <c r="G112" i="8"/>
  <c r="F112" i="8"/>
  <c r="E112" i="8"/>
  <c r="D112" i="8"/>
  <c r="C112" i="8"/>
  <c r="B112" i="8"/>
  <c r="H99" i="8"/>
  <c r="G99" i="8"/>
  <c r="F99" i="8"/>
  <c r="E99" i="8"/>
  <c r="D99" i="8"/>
  <c r="C99" i="8"/>
  <c r="B99" i="8"/>
  <c r="I57" i="8"/>
  <c r="H57" i="8"/>
  <c r="G57" i="8"/>
  <c r="F57" i="8"/>
  <c r="E57" i="8"/>
  <c r="D57" i="8"/>
  <c r="C57" i="8"/>
  <c r="B57" i="8"/>
  <c r="C51" i="8"/>
  <c r="B51" i="8"/>
  <c r="A51" i="8"/>
  <c r="C50" i="8"/>
  <c r="B50" i="8"/>
  <c r="A50" i="8"/>
  <c r="C49" i="8"/>
  <c r="B49" i="8"/>
  <c r="A49" i="8"/>
  <c r="C48" i="8"/>
  <c r="B48" i="8"/>
  <c r="A48" i="8"/>
  <c r="C47" i="8"/>
  <c r="B47" i="8"/>
  <c r="A47" i="8"/>
  <c r="C46" i="8"/>
  <c r="B46" i="8"/>
  <c r="A46" i="8"/>
  <c r="C45" i="8"/>
  <c r="B45" i="8"/>
  <c r="A45" i="8"/>
  <c r="C44" i="8"/>
  <c r="B44" i="8"/>
  <c r="A44" i="8"/>
  <c r="C43" i="8"/>
  <c r="B43" i="8"/>
  <c r="A43" i="8"/>
  <c r="C42" i="8"/>
  <c r="B42" i="8"/>
  <c r="A42" i="8"/>
  <c r="C41" i="8"/>
  <c r="B41" i="8"/>
  <c r="A41" i="8"/>
  <c r="C40" i="8"/>
  <c r="B40" i="8"/>
  <c r="A40" i="8"/>
  <c r="C39" i="8"/>
  <c r="B39" i="8"/>
  <c r="A39" i="8"/>
  <c r="C38" i="8"/>
  <c r="B38" i="8"/>
  <c r="A38" i="8"/>
  <c r="C37" i="8"/>
  <c r="B37" i="8"/>
  <c r="A37" i="8"/>
  <c r="C36" i="8"/>
  <c r="B36" i="8"/>
  <c r="A36" i="8"/>
  <c r="C35" i="8"/>
  <c r="B35" i="8"/>
  <c r="A35" i="8"/>
  <c r="C34" i="8"/>
  <c r="B34" i="8"/>
  <c r="A34" i="8"/>
  <c r="C33" i="8"/>
  <c r="B33" i="8"/>
  <c r="A33" i="8"/>
  <c r="C32" i="8"/>
  <c r="B32" i="8"/>
  <c r="A32" i="8"/>
  <c r="C31" i="8"/>
  <c r="B31" i="8"/>
  <c r="A31" i="8"/>
  <c r="C30" i="8"/>
  <c r="B30" i="8"/>
  <c r="A30" i="8"/>
  <c r="C29" i="8"/>
  <c r="B29" i="8"/>
  <c r="A29" i="8"/>
  <c r="C28" i="8"/>
  <c r="B28" i="8"/>
  <c r="A28" i="8"/>
  <c r="C27" i="8"/>
  <c r="B27" i="8"/>
  <c r="A27" i="8"/>
  <c r="C26" i="8"/>
  <c r="B26" i="8"/>
  <c r="A26" i="8"/>
  <c r="C25" i="8"/>
  <c r="B25" i="8"/>
  <c r="A25" i="8"/>
  <c r="C24" i="8"/>
  <c r="B24" i="8"/>
  <c r="A24" i="8"/>
  <c r="C23" i="8"/>
  <c r="B23" i="8"/>
  <c r="A23" i="8"/>
  <c r="C22" i="8"/>
  <c r="B22" i="8"/>
  <c r="A22" i="8"/>
  <c r="C21" i="8"/>
  <c r="B21" i="8"/>
  <c r="A21" i="8"/>
  <c r="C20" i="8"/>
  <c r="B20" i="8"/>
  <c r="A20" i="8"/>
  <c r="C19" i="8"/>
  <c r="B19" i="8"/>
  <c r="A19" i="8"/>
  <c r="C18" i="8"/>
  <c r="B18" i="8"/>
  <c r="A18" i="8"/>
  <c r="C17" i="8"/>
  <c r="B17" i="8"/>
  <c r="A17" i="8"/>
  <c r="C16" i="8"/>
  <c r="B16" i="8"/>
  <c r="A16" i="8"/>
  <c r="C15" i="8"/>
  <c r="B15" i="8"/>
  <c r="A15" i="8"/>
  <c r="C14" i="8"/>
  <c r="B14" i="8"/>
  <c r="A14" i="8"/>
  <c r="C13" i="8"/>
  <c r="B13" i="8"/>
  <c r="A13" i="8"/>
  <c r="C12" i="8"/>
  <c r="B12" i="8"/>
  <c r="A12" i="8"/>
  <c r="C11" i="8"/>
  <c r="B11" i="8"/>
  <c r="A11" i="8"/>
  <c r="C10" i="8"/>
  <c r="B10" i="8"/>
  <c r="A10" i="8"/>
  <c r="C9" i="8"/>
  <c r="B9" i="8"/>
  <c r="A9" i="8"/>
  <c r="C8" i="8"/>
  <c r="B8" i="8"/>
  <c r="A8" i="8"/>
  <c r="C7" i="8"/>
  <c r="B7" i="8"/>
  <c r="A7" i="8"/>
  <c r="C6" i="8"/>
  <c r="B6" i="8"/>
  <c r="A6" i="8"/>
  <c r="C5" i="8"/>
  <c r="B5" i="8"/>
  <c r="A5" i="8"/>
  <c r="C4" i="8"/>
  <c r="B4" i="8"/>
  <c r="A4" i="8"/>
  <c r="B22" i="6"/>
  <c r="B17" i="6"/>
  <c r="C14" i="6"/>
  <c r="D14" i="6" s="1"/>
  <c r="A14" i="6"/>
  <c r="B14" i="6" s="1"/>
  <c r="C13" i="6"/>
  <c r="D13" i="6" s="1"/>
  <c r="A13" i="6"/>
  <c r="B13" i="6" s="1"/>
  <c r="C12" i="6"/>
  <c r="D12" i="6" s="1"/>
  <c r="A12" i="6"/>
  <c r="B12" i="6" s="1"/>
  <c r="C11" i="6"/>
  <c r="D11" i="6" s="1"/>
  <c r="A11" i="6"/>
  <c r="B11" i="6" s="1"/>
  <c r="C10" i="6"/>
  <c r="D10" i="6" s="1"/>
  <c r="B7" i="6"/>
  <c r="Q1" i="6"/>
  <c r="L1" i="6"/>
  <c r="G1" i="6"/>
  <c r="H291" i="4"/>
  <c r="H290" i="4"/>
  <c r="H289" i="4"/>
  <c r="H288" i="4"/>
  <c r="H287" i="4"/>
  <c r="H286" i="4"/>
  <c r="H285" i="4"/>
  <c r="H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O109" i="4"/>
  <c r="L109" i="4" s="1" a="1"/>
  <c r="L109" i="4" s="1"/>
  <c r="M109" i="4"/>
  <c r="F109" i="4"/>
  <c r="O108" i="4"/>
  <c r="L108" i="4" s="1" a="1"/>
  <c r="L108" i="4" s="1"/>
  <c r="M108" i="4"/>
  <c r="F108" i="4"/>
  <c r="O107" i="4"/>
  <c r="L107" i="4" s="1" a="1"/>
  <c r="L107" i="4" s="1"/>
  <c r="M107" i="4"/>
  <c r="F107" i="4"/>
  <c r="O106" i="4"/>
  <c r="L106" i="4" s="1" a="1"/>
  <c r="L106" i="4" s="1"/>
  <c r="M106" i="4"/>
  <c r="F106" i="4"/>
  <c r="O105" i="4"/>
  <c r="L105" i="4" s="1" a="1"/>
  <c r="L105" i="4" s="1"/>
  <c r="M105" i="4"/>
  <c r="F105" i="4"/>
  <c r="O104" i="4"/>
  <c r="L104" i="4" s="1" a="1"/>
  <c r="L104" i="4" s="1"/>
  <c r="M104" i="4"/>
  <c r="F104" i="4"/>
  <c r="O103" i="4"/>
  <c r="L103" i="4" s="1" a="1"/>
  <c r="L103" i="4" s="1"/>
  <c r="M103" i="4"/>
  <c r="F103" i="4"/>
  <c r="O102" i="4"/>
  <c r="L102" i="4" s="1" a="1"/>
  <c r="L102" i="4" s="1"/>
  <c r="M102" i="4"/>
  <c r="F102" i="4"/>
  <c r="O101" i="4"/>
  <c r="L101" i="4" s="1" a="1"/>
  <c r="L101" i="4" s="1"/>
  <c r="M101" i="4"/>
  <c r="F101" i="4"/>
  <c r="O100" i="4"/>
  <c r="L100" i="4" s="1" a="1"/>
  <c r="L100" i="4" s="1"/>
  <c r="M100" i="4"/>
  <c r="F100" i="4"/>
  <c r="O99" i="4"/>
  <c r="L99" i="4" s="1" a="1"/>
  <c r="L99" i="4" s="1"/>
  <c r="M99" i="4"/>
  <c r="F99" i="4"/>
  <c r="O98" i="4"/>
  <c r="L98" i="4" s="1" a="1"/>
  <c r="L98" i="4" s="1"/>
  <c r="M98" i="4"/>
  <c r="F98" i="4"/>
  <c r="O97" i="4"/>
  <c r="L97" i="4" s="1" a="1"/>
  <c r="L97" i="4" s="1"/>
  <c r="M97" i="4"/>
  <c r="F97" i="4"/>
  <c r="O96" i="4"/>
  <c r="L96" i="4" s="1" a="1"/>
  <c r="L96" i="4" s="1"/>
  <c r="M96" i="4"/>
  <c r="F96" i="4"/>
  <c r="O95" i="4"/>
  <c r="L95" i="4" s="1" a="1"/>
  <c r="L95" i="4" s="1"/>
  <c r="M95" i="4"/>
  <c r="F95" i="4"/>
  <c r="O94" i="4"/>
  <c r="L94" i="4" s="1" a="1"/>
  <c r="L94" i="4" s="1"/>
  <c r="M94" i="4"/>
  <c r="F94" i="4"/>
  <c r="O93" i="4"/>
  <c r="L93" i="4" s="1" a="1"/>
  <c r="L93" i="4" s="1"/>
  <c r="M93" i="4"/>
  <c r="F93" i="4"/>
  <c r="O92" i="4"/>
  <c r="L92" i="4" s="1" a="1"/>
  <c r="L92" i="4" s="1"/>
  <c r="M92" i="4"/>
  <c r="F92" i="4"/>
  <c r="O91" i="4"/>
  <c r="L91" i="4" s="1" a="1"/>
  <c r="L91" i="4" s="1"/>
  <c r="M91" i="4"/>
  <c r="F91" i="4"/>
  <c r="O90" i="4"/>
  <c r="L90" i="4" s="1" a="1"/>
  <c r="L90" i="4" s="1"/>
  <c r="M90" i="4"/>
  <c r="F90" i="4"/>
  <c r="O89" i="4"/>
  <c r="L89" i="4" s="1" a="1"/>
  <c r="L89" i="4" s="1"/>
  <c r="M89" i="4"/>
  <c r="F89" i="4"/>
  <c r="O88" i="4"/>
  <c r="L88" i="4" s="1" a="1"/>
  <c r="L88" i="4" s="1"/>
  <c r="M88" i="4"/>
  <c r="F88" i="4"/>
  <c r="O87" i="4"/>
  <c r="L87" i="4" s="1" a="1"/>
  <c r="L87" i="4" s="1"/>
  <c r="M87" i="4"/>
  <c r="F87" i="4"/>
  <c r="O86" i="4"/>
  <c r="L86" i="4" s="1" a="1"/>
  <c r="L86" i="4" s="1"/>
  <c r="M86" i="4"/>
  <c r="F86" i="4"/>
  <c r="O85" i="4"/>
  <c r="L85" i="4" s="1" a="1"/>
  <c r="L85" i="4" s="1"/>
  <c r="P85" i="4" s="1"/>
  <c r="M85" i="4"/>
  <c r="J85" i="4"/>
  <c r="F85" i="4"/>
  <c r="O84" i="4"/>
  <c r="L84" i="4" s="1" a="1"/>
  <c r="L84" i="4" s="1"/>
  <c r="M84" i="4"/>
  <c r="F84" i="4"/>
  <c r="O83" i="4"/>
  <c r="M83" i="4"/>
  <c r="F83" i="4"/>
  <c r="O82" i="4"/>
  <c r="L82" i="4" s="1" a="1"/>
  <c r="L82" i="4" s="1"/>
  <c r="M82" i="4"/>
  <c r="F82" i="4"/>
  <c r="O81" i="4"/>
  <c r="L81" i="4" s="1" a="1"/>
  <c r="L81" i="4" s="1"/>
  <c r="M81" i="4"/>
  <c r="F81" i="4"/>
  <c r="O80" i="4"/>
  <c r="L80" i="4" s="1" a="1"/>
  <c r="L80" i="4" s="1"/>
  <c r="M80" i="4"/>
  <c r="F80" i="4"/>
  <c r="O79" i="4"/>
  <c r="L79" i="4" s="1" a="1"/>
  <c r="L79" i="4" s="1"/>
  <c r="M79" i="4"/>
  <c r="F79" i="4"/>
  <c r="O78" i="4"/>
  <c r="L78" i="4" s="1" a="1"/>
  <c r="L78" i="4" s="1"/>
  <c r="M78" i="4"/>
  <c r="J78" i="4"/>
  <c r="F78" i="4"/>
  <c r="O77" i="4"/>
  <c r="L77" i="4" s="1" a="1"/>
  <c r="L77" i="4" s="1"/>
  <c r="M77" i="4"/>
  <c r="F77" i="4"/>
  <c r="O76" i="4"/>
  <c r="L76" i="4" s="1" a="1"/>
  <c r="L76" i="4" s="1"/>
  <c r="M76" i="4"/>
  <c r="F76" i="4"/>
  <c r="O75" i="4"/>
  <c r="L75" i="4" s="1" a="1"/>
  <c r="L75" i="4" s="1"/>
  <c r="M75" i="4"/>
  <c r="F75" i="4"/>
  <c r="O74" i="4"/>
  <c r="L74" i="4" s="1" a="1"/>
  <c r="L74" i="4" s="1"/>
  <c r="M74" i="4"/>
  <c r="F74" i="4"/>
  <c r="O73" i="4"/>
  <c r="M73" i="4"/>
  <c r="F73" i="4"/>
  <c r="O72" i="4"/>
  <c r="L72" i="4" s="1" a="1"/>
  <c r="L72" i="4" s="1"/>
  <c r="M72" i="4"/>
  <c r="F72" i="4"/>
  <c r="O71" i="4"/>
  <c r="L71" i="4" s="1" a="1"/>
  <c r="L71" i="4" s="1"/>
  <c r="M71" i="4"/>
  <c r="J71" i="4" a="1"/>
  <c r="J71" i="4" s="1"/>
  <c r="F71" i="4"/>
  <c r="O70" i="4"/>
  <c r="L70" i="4" s="1" a="1"/>
  <c r="L70" i="4" s="1"/>
  <c r="M70" i="4"/>
  <c r="F70" i="4"/>
  <c r="O69" i="4"/>
  <c r="L69" i="4" s="1" a="1"/>
  <c r="L69" i="4" s="1"/>
  <c r="M69" i="4"/>
  <c r="J69" i="4"/>
  <c r="J79" i="4" s="1"/>
  <c r="F69" i="4"/>
  <c r="O68" i="4"/>
  <c r="L68" i="4" s="1" a="1"/>
  <c r="L68" i="4" s="1"/>
  <c r="M68" i="4"/>
  <c r="F68" i="4"/>
  <c r="O67" i="4"/>
  <c r="M67" i="4"/>
  <c r="J67" i="4"/>
  <c r="F67" i="4"/>
  <c r="O66" i="4"/>
  <c r="L66" i="4" s="1" a="1"/>
  <c r="L66" i="4" s="1"/>
  <c r="M66" i="4"/>
  <c r="J66" i="4"/>
  <c r="F66" i="4"/>
  <c r="O65" i="4"/>
  <c r="L65" i="4" s="1" a="1"/>
  <c r="L65" i="4" s="1"/>
  <c r="M65" i="4"/>
  <c r="F65" i="4"/>
  <c r="O64" i="4"/>
  <c r="L64" i="4" s="1" a="1"/>
  <c r="L64" i="4" s="1"/>
  <c r="M64" i="4"/>
  <c r="J64" i="4"/>
  <c r="F64" i="4"/>
  <c r="O63" i="4"/>
  <c r="L63" i="4" s="1" a="1"/>
  <c r="L63" i="4" s="1"/>
  <c r="M63" i="4"/>
  <c r="F63" i="4"/>
  <c r="O62" i="4"/>
  <c r="F62" i="4"/>
  <c r="V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S63" i="4" s="1"/>
  <c r="C3" i="4"/>
  <c r="B3" i="4"/>
  <c r="L6" i="3"/>
  <c r="C7" i="3"/>
  <c r="C6" i="3"/>
  <c r="M10" i="3" s="1"/>
  <c r="L10" i="3"/>
  <c r="C5" i="3"/>
  <c r="M9" i="3" s="1"/>
  <c r="T4" i="3"/>
  <c r="S4" i="3"/>
  <c r="R4" i="3"/>
  <c r="Q4" i="3"/>
  <c r="P4" i="3"/>
  <c r="O4" i="3"/>
  <c r="N4" i="3"/>
  <c r="C4" i="3"/>
  <c r="M7" i="3" s="1"/>
  <c r="L8" i="3" s="1"/>
  <c r="M8" i="3" s="1"/>
  <c r="B3" i="3"/>
  <c r="C3" i="3" s="1"/>
  <c r="M6" i="3" s="1"/>
  <c r="S1" i="3"/>
  <c r="O1" i="10"/>
  <c r="B31" i="7"/>
  <c r="A15" i="7"/>
  <c r="A14" i="7"/>
  <c r="A13" i="7"/>
  <c r="A12" i="7"/>
  <c r="A11" i="7"/>
  <c r="A10" i="7"/>
  <c r="A9" i="7"/>
  <c r="A8" i="7"/>
  <c r="A7" i="7"/>
  <c r="A6" i="7"/>
  <c r="A5" i="7"/>
  <c r="V1" i="7"/>
  <c r="J1" i="7"/>
  <c r="Y143" i="2"/>
  <c r="X143" i="2"/>
  <c r="W143" i="2"/>
  <c r="V143" i="2"/>
  <c r="U143" i="2"/>
  <c r="T143" i="2"/>
  <c r="S143" i="2"/>
  <c r="R143" i="2"/>
  <c r="Y142" i="2"/>
  <c r="X142" i="2"/>
  <c r="W142" i="2"/>
  <c r="V142" i="2"/>
  <c r="U142" i="2"/>
  <c r="T142" i="2"/>
  <c r="S142" i="2"/>
  <c r="R142" i="2"/>
  <c r="Y141" i="2"/>
  <c r="X141" i="2"/>
  <c r="W141" i="2"/>
  <c r="V141" i="2"/>
  <c r="U141" i="2"/>
  <c r="T141" i="2"/>
  <c r="S141" i="2"/>
  <c r="R141" i="2"/>
  <c r="Y140" i="2"/>
  <c r="X140" i="2"/>
  <c r="W140" i="2"/>
  <c r="V140" i="2"/>
  <c r="U140" i="2"/>
  <c r="T140" i="2"/>
  <c r="S140" i="2"/>
  <c r="R140" i="2"/>
  <c r="Y139" i="2"/>
  <c r="X139" i="2"/>
  <c r="W139" i="2"/>
  <c r="V139" i="2"/>
  <c r="U139" i="2"/>
  <c r="T139" i="2"/>
  <c r="S139" i="2"/>
  <c r="R139" i="2"/>
  <c r="Y138" i="2"/>
  <c r="X138" i="2"/>
  <c r="W138" i="2"/>
  <c r="V138" i="2"/>
  <c r="U138" i="2"/>
  <c r="T138" i="2"/>
  <c r="S138" i="2"/>
  <c r="R138" i="2"/>
  <c r="Y137" i="2"/>
  <c r="X137" i="2"/>
  <c r="W137" i="2"/>
  <c r="V137" i="2"/>
  <c r="U137" i="2"/>
  <c r="T137" i="2"/>
  <c r="S137" i="2"/>
  <c r="R137" i="2"/>
  <c r="Y136" i="2"/>
  <c r="X136" i="2"/>
  <c r="W136" i="2"/>
  <c r="V136" i="2"/>
  <c r="U136" i="2"/>
  <c r="T136" i="2"/>
  <c r="S136" i="2"/>
  <c r="R136" i="2"/>
  <c r="Y135" i="2"/>
  <c r="X135" i="2"/>
  <c r="W135" i="2"/>
  <c r="V135" i="2"/>
  <c r="U135" i="2"/>
  <c r="T135" i="2"/>
  <c r="S135" i="2"/>
  <c r="R135" i="2"/>
  <c r="Y134" i="2"/>
  <c r="X134" i="2"/>
  <c r="W134" i="2"/>
  <c r="V134" i="2"/>
  <c r="U134" i="2"/>
  <c r="T134" i="2"/>
  <c r="S134" i="2"/>
  <c r="R134" i="2"/>
  <c r="Y133" i="2"/>
  <c r="X133" i="2"/>
  <c r="W133" i="2"/>
  <c r="V133" i="2"/>
  <c r="U133" i="2"/>
  <c r="T133" i="2"/>
  <c r="S133" i="2"/>
  <c r="R133" i="2"/>
  <c r="Y132" i="2"/>
  <c r="X132" i="2"/>
  <c r="W132" i="2"/>
  <c r="V132" i="2"/>
  <c r="U132" i="2"/>
  <c r="T132" i="2"/>
  <c r="S132" i="2"/>
  <c r="R132" i="2"/>
  <c r="Y131" i="2"/>
  <c r="X131" i="2"/>
  <c r="W131" i="2"/>
  <c r="V131" i="2"/>
  <c r="U131" i="2"/>
  <c r="T131" i="2"/>
  <c r="S131" i="2"/>
  <c r="R131" i="2"/>
  <c r="Y130" i="2"/>
  <c r="X130" i="2"/>
  <c r="W130" i="2"/>
  <c r="V130" i="2"/>
  <c r="U130" i="2"/>
  <c r="T130" i="2"/>
  <c r="S130" i="2"/>
  <c r="R130" i="2"/>
  <c r="Y129" i="2"/>
  <c r="X129" i="2"/>
  <c r="W129" i="2"/>
  <c r="V129" i="2"/>
  <c r="U129" i="2"/>
  <c r="T129" i="2"/>
  <c r="S129" i="2"/>
  <c r="R129" i="2"/>
  <c r="Y128" i="2"/>
  <c r="X128" i="2"/>
  <c r="W128" i="2"/>
  <c r="V128" i="2"/>
  <c r="U128" i="2"/>
  <c r="T128" i="2"/>
  <c r="S128" i="2"/>
  <c r="R128" i="2"/>
  <c r="Y127" i="2"/>
  <c r="X127" i="2"/>
  <c r="W127" i="2"/>
  <c r="V127" i="2"/>
  <c r="U127" i="2"/>
  <c r="T127" i="2"/>
  <c r="S127" i="2"/>
  <c r="R127" i="2"/>
  <c r="Y126" i="2"/>
  <c r="X126" i="2"/>
  <c r="W126" i="2"/>
  <c r="V126" i="2"/>
  <c r="U126" i="2"/>
  <c r="T126" i="2"/>
  <c r="S126" i="2"/>
  <c r="R126" i="2"/>
  <c r="Y125" i="2"/>
  <c r="X125" i="2"/>
  <c r="W125" i="2"/>
  <c r="V125" i="2"/>
  <c r="U125" i="2"/>
  <c r="T125" i="2"/>
  <c r="S125" i="2"/>
  <c r="R125" i="2"/>
  <c r="Y124" i="2"/>
  <c r="X124" i="2"/>
  <c r="W124" i="2"/>
  <c r="V124" i="2"/>
  <c r="U124" i="2"/>
  <c r="T124" i="2"/>
  <c r="S124" i="2"/>
  <c r="R124" i="2"/>
  <c r="Y123" i="2"/>
  <c r="X123" i="2"/>
  <c r="W123" i="2"/>
  <c r="V123" i="2"/>
  <c r="U123" i="2"/>
  <c r="T123" i="2"/>
  <c r="S123" i="2"/>
  <c r="R123" i="2"/>
  <c r="Y122" i="2"/>
  <c r="X122" i="2"/>
  <c r="W122" i="2"/>
  <c r="V122" i="2"/>
  <c r="U122" i="2"/>
  <c r="T122" i="2"/>
  <c r="S122" i="2"/>
  <c r="R122" i="2"/>
  <c r="Y121" i="2"/>
  <c r="X121" i="2"/>
  <c r="W121" i="2"/>
  <c r="V121" i="2"/>
  <c r="U121" i="2"/>
  <c r="T121" i="2"/>
  <c r="S121" i="2"/>
  <c r="R121" i="2"/>
  <c r="Y120" i="2"/>
  <c r="X120" i="2"/>
  <c r="W120" i="2"/>
  <c r="V120" i="2"/>
  <c r="U120" i="2"/>
  <c r="T120" i="2"/>
  <c r="S120" i="2"/>
  <c r="R120" i="2"/>
  <c r="Y115" i="2"/>
  <c r="X115" i="2"/>
  <c r="W115" i="2"/>
  <c r="V115" i="2"/>
  <c r="U115" i="2"/>
  <c r="T115" i="2"/>
  <c r="S115" i="2"/>
  <c r="R115" i="2"/>
  <c r="Y114" i="2"/>
  <c r="X114" i="2"/>
  <c r="W114" i="2"/>
  <c r="V114" i="2"/>
  <c r="U114" i="2"/>
  <c r="T114" i="2"/>
  <c r="S114" i="2"/>
  <c r="R114" i="2"/>
  <c r="Y113" i="2"/>
  <c r="X113" i="2"/>
  <c r="W113" i="2"/>
  <c r="V113" i="2"/>
  <c r="U113" i="2"/>
  <c r="T113" i="2"/>
  <c r="S113" i="2"/>
  <c r="R113" i="2"/>
  <c r="Y112" i="2"/>
  <c r="X112" i="2"/>
  <c r="W112" i="2"/>
  <c r="V112" i="2"/>
  <c r="U112" i="2"/>
  <c r="T112" i="2"/>
  <c r="S112" i="2"/>
  <c r="R112" i="2"/>
  <c r="Y111" i="2"/>
  <c r="X111" i="2"/>
  <c r="W111" i="2"/>
  <c r="V111" i="2"/>
  <c r="U111" i="2"/>
  <c r="T111" i="2"/>
  <c r="S111" i="2"/>
  <c r="R111" i="2"/>
  <c r="Y110" i="2"/>
  <c r="X110" i="2"/>
  <c r="W110" i="2"/>
  <c r="V110" i="2"/>
  <c r="U110" i="2"/>
  <c r="T110" i="2"/>
  <c r="S110" i="2"/>
  <c r="R110" i="2"/>
  <c r="Y109" i="2"/>
  <c r="X109" i="2"/>
  <c r="W109" i="2"/>
  <c r="V109" i="2"/>
  <c r="U109" i="2"/>
  <c r="T109" i="2"/>
  <c r="S109" i="2"/>
  <c r="R109" i="2"/>
  <c r="Y108" i="2"/>
  <c r="X108" i="2"/>
  <c r="W108" i="2"/>
  <c r="V108" i="2"/>
  <c r="U108" i="2"/>
  <c r="T108" i="2"/>
  <c r="S108" i="2"/>
  <c r="R108" i="2"/>
  <c r="Y107" i="2"/>
  <c r="X107" i="2"/>
  <c r="W107" i="2"/>
  <c r="V107" i="2"/>
  <c r="U107" i="2"/>
  <c r="T107" i="2"/>
  <c r="S107" i="2"/>
  <c r="R107" i="2"/>
  <c r="Y106" i="2"/>
  <c r="X106" i="2"/>
  <c r="W106" i="2"/>
  <c r="V106" i="2"/>
  <c r="U106" i="2"/>
  <c r="T106" i="2"/>
  <c r="S106" i="2"/>
  <c r="R106" i="2"/>
  <c r="Y105" i="2"/>
  <c r="X105" i="2"/>
  <c r="W105" i="2"/>
  <c r="V105" i="2"/>
  <c r="U105" i="2"/>
  <c r="T105" i="2"/>
  <c r="S105" i="2"/>
  <c r="R105" i="2"/>
  <c r="Y104" i="2"/>
  <c r="X104" i="2"/>
  <c r="W104" i="2"/>
  <c r="V104" i="2"/>
  <c r="U104" i="2"/>
  <c r="T104" i="2"/>
  <c r="S104" i="2"/>
  <c r="R104" i="2"/>
  <c r="Y103" i="2"/>
  <c r="X103" i="2"/>
  <c r="W103" i="2"/>
  <c r="V103" i="2"/>
  <c r="U103" i="2"/>
  <c r="T103" i="2"/>
  <c r="S103" i="2"/>
  <c r="R103" i="2"/>
  <c r="Y102" i="2"/>
  <c r="X102" i="2"/>
  <c r="W102" i="2"/>
  <c r="V102" i="2"/>
  <c r="U102" i="2"/>
  <c r="T102" i="2"/>
  <c r="S102" i="2"/>
  <c r="R102" i="2"/>
  <c r="Y101" i="2"/>
  <c r="X101" i="2"/>
  <c r="W101" i="2"/>
  <c r="V101" i="2"/>
  <c r="U101" i="2"/>
  <c r="T101" i="2"/>
  <c r="S101" i="2"/>
  <c r="R101" i="2"/>
  <c r="Y100" i="2"/>
  <c r="X100" i="2"/>
  <c r="W100" i="2"/>
  <c r="V100" i="2"/>
  <c r="U100" i="2"/>
  <c r="T100" i="2"/>
  <c r="S100" i="2"/>
  <c r="R100" i="2"/>
  <c r="Y99" i="2"/>
  <c r="X99" i="2"/>
  <c r="W99" i="2"/>
  <c r="V99" i="2"/>
  <c r="U99" i="2"/>
  <c r="T99" i="2"/>
  <c r="S99" i="2"/>
  <c r="R99" i="2"/>
  <c r="Y98" i="2"/>
  <c r="X98" i="2"/>
  <c r="W98" i="2"/>
  <c r="V98" i="2"/>
  <c r="U98" i="2"/>
  <c r="T98" i="2"/>
  <c r="S98" i="2"/>
  <c r="R98" i="2"/>
  <c r="Y97" i="2"/>
  <c r="X97" i="2"/>
  <c r="W97" i="2"/>
  <c r="V97" i="2"/>
  <c r="U97" i="2"/>
  <c r="T97" i="2"/>
  <c r="S97" i="2"/>
  <c r="R97" i="2"/>
  <c r="Y96" i="2"/>
  <c r="X96" i="2"/>
  <c r="W96" i="2"/>
  <c r="V96" i="2"/>
  <c r="U96" i="2"/>
  <c r="T96" i="2"/>
  <c r="S96" i="2"/>
  <c r="R96" i="2"/>
  <c r="Y95" i="2"/>
  <c r="X95" i="2"/>
  <c r="W95" i="2"/>
  <c r="V95" i="2"/>
  <c r="U95" i="2"/>
  <c r="T95" i="2"/>
  <c r="S95" i="2"/>
  <c r="R95" i="2"/>
  <c r="Y94" i="2"/>
  <c r="X94" i="2"/>
  <c r="W94" i="2"/>
  <c r="V94" i="2"/>
  <c r="U94" i="2"/>
  <c r="T94" i="2"/>
  <c r="S94" i="2"/>
  <c r="R94" i="2"/>
  <c r="Y93" i="2"/>
  <c r="X93" i="2"/>
  <c r="W93" i="2"/>
  <c r="V93" i="2"/>
  <c r="U93" i="2"/>
  <c r="T93" i="2"/>
  <c r="S93" i="2"/>
  <c r="R93" i="2"/>
  <c r="Y92" i="2"/>
  <c r="X92" i="2"/>
  <c r="W92" i="2"/>
  <c r="V92" i="2"/>
  <c r="U92" i="2"/>
  <c r="T92" i="2"/>
  <c r="S92" i="2"/>
  <c r="R92" i="2"/>
  <c r="AJ89" i="2"/>
  <c r="Y86" i="2"/>
  <c r="X86" i="2"/>
  <c r="W86" i="2"/>
  <c r="V86" i="2"/>
  <c r="U86" i="2"/>
  <c r="T86" i="2"/>
  <c r="S86" i="2"/>
  <c r="R86" i="2"/>
  <c r="Y85" i="2"/>
  <c r="X85" i="2"/>
  <c r="W85" i="2"/>
  <c r="V85" i="2"/>
  <c r="U85" i="2"/>
  <c r="T85" i="2"/>
  <c r="S85" i="2"/>
  <c r="R85" i="2"/>
  <c r="Y84" i="2"/>
  <c r="X84" i="2"/>
  <c r="W84" i="2"/>
  <c r="V84" i="2"/>
  <c r="U84" i="2"/>
  <c r="T84" i="2"/>
  <c r="S84" i="2"/>
  <c r="R84" i="2"/>
  <c r="Y83" i="2"/>
  <c r="X83" i="2"/>
  <c r="W83" i="2"/>
  <c r="V83" i="2"/>
  <c r="U83" i="2"/>
  <c r="T83" i="2"/>
  <c r="S83" i="2"/>
  <c r="R83" i="2"/>
  <c r="Y82" i="2"/>
  <c r="X82" i="2"/>
  <c r="W82" i="2"/>
  <c r="V82" i="2"/>
  <c r="U82" i="2"/>
  <c r="T82" i="2"/>
  <c r="S82" i="2"/>
  <c r="R82" i="2"/>
  <c r="Y81" i="2"/>
  <c r="X81" i="2"/>
  <c r="W81" i="2"/>
  <c r="V81" i="2"/>
  <c r="U81" i="2"/>
  <c r="T81" i="2"/>
  <c r="S81" i="2"/>
  <c r="R81" i="2"/>
  <c r="Y80" i="2"/>
  <c r="X80" i="2"/>
  <c r="W80" i="2"/>
  <c r="V80" i="2"/>
  <c r="U80" i="2"/>
  <c r="T80" i="2"/>
  <c r="S80" i="2"/>
  <c r="R80" i="2"/>
  <c r="Y79" i="2"/>
  <c r="X79" i="2"/>
  <c r="W79" i="2"/>
  <c r="V79" i="2"/>
  <c r="U79" i="2"/>
  <c r="T79" i="2"/>
  <c r="S79" i="2"/>
  <c r="R79" i="2"/>
  <c r="Y78" i="2"/>
  <c r="X78" i="2"/>
  <c r="W78" i="2"/>
  <c r="V78" i="2"/>
  <c r="U78" i="2"/>
  <c r="T78" i="2"/>
  <c r="S78" i="2"/>
  <c r="R78" i="2"/>
  <c r="Y77" i="2"/>
  <c r="X77" i="2"/>
  <c r="W77" i="2"/>
  <c r="V77" i="2"/>
  <c r="U77" i="2"/>
  <c r="T77" i="2"/>
  <c r="S77" i="2"/>
  <c r="R77" i="2"/>
  <c r="Y76" i="2"/>
  <c r="X76" i="2"/>
  <c r="W76" i="2"/>
  <c r="V76" i="2"/>
  <c r="U76" i="2"/>
  <c r="T76" i="2"/>
  <c r="S76" i="2"/>
  <c r="R76" i="2"/>
  <c r="Y75" i="2"/>
  <c r="X75" i="2"/>
  <c r="W75" i="2"/>
  <c r="V75" i="2"/>
  <c r="U75" i="2"/>
  <c r="T75" i="2"/>
  <c r="S75" i="2"/>
  <c r="R75" i="2"/>
  <c r="Y74" i="2"/>
  <c r="X74" i="2"/>
  <c r="W74" i="2"/>
  <c r="V74" i="2"/>
  <c r="U74" i="2"/>
  <c r="T74" i="2"/>
  <c r="S74" i="2"/>
  <c r="R74" i="2"/>
  <c r="Y73" i="2"/>
  <c r="X73" i="2"/>
  <c r="W73" i="2"/>
  <c r="V73" i="2"/>
  <c r="U73" i="2"/>
  <c r="T73" i="2"/>
  <c r="S73" i="2"/>
  <c r="R73" i="2"/>
  <c r="Y72" i="2"/>
  <c r="X72" i="2"/>
  <c r="W72" i="2"/>
  <c r="V72" i="2"/>
  <c r="U72" i="2"/>
  <c r="T72" i="2"/>
  <c r="S72" i="2"/>
  <c r="R72" i="2"/>
  <c r="Y71" i="2"/>
  <c r="X71" i="2"/>
  <c r="W71" i="2"/>
  <c r="V71" i="2"/>
  <c r="U71" i="2"/>
  <c r="T71" i="2"/>
  <c r="S71" i="2"/>
  <c r="R71" i="2"/>
  <c r="Y70" i="2"/>
  <c r="X70" i="2"/>
  <c r="W70" i="2"/>
  <c r="V70" i="2"/>
  <c r="U70" i="2"/>
  <c r="T70" i="2"/>
  <c r="S70" i="2"/>
  <c r="R70" i="2"/>
  <c r="Y69" i="2"/>
  <c r="X69" i="2"/>
  <c r="W69" i="2"/>
  <c r="V69" i="2"/>
  <c r="U69" i="2"/>
  <c r="T69" i="2"/>
  <c r="S69" i="2"/>
  <c r="R69" i="2"/>
  <c r="Y68" i="2"/>
  <c r="X68" i="2"/>
  <c r="W68" i="2"/>
  <c r="V68" i="2"/>
  <c r="U68" i="2"/>
  <c r="T68" i="2"/>
  <c r="S68" i="2"/>
  <c r="R68" i="2"/>
  <c r="Y67" i="2"/>
  <c r="X67" i="2"/>
  <c r="W67" i="2"/>
  <c r="V67" i="2"/>
  <c r="U67" i="2"/>
  <c r="T67" i="2"/>
  <c r="S67" i="2"/>
  <c r="R67" i="2"/>
  <c r="Y66" i="2"/>
  <c r="X66" i="2"/>
  <c r="W66" i="2"/>
  <c r="V66" i="2"/>
  <c r="U66" i="2"/>
  <c r="T66" i="2"/>
  <c r="S66" i="2"/>
  <c r="R66" i="2"/>
  <c r="Y65" i="2"/>
  <c r="X65" i="2"/>
  <c r="W65" i="2"/>
  <c r="V65" i="2"/>
  <c r="U65" i="2"/>
  <c r="T65" i="2"/>
  <c r="S65" i="2"/>
  <c r="R65" i="2"/>
  <c r="AA64" i="2"/>
  <c r="Y64" i="2"/>
  <c r="X64" i="2"/>
  <c r="W64" i="2"/>
  <c r="V64" i="2"/>
  <c r="U64" i="2"/>
  <c r="T64" i="2"/>
  <c r="S64" i="2"/>
  <c r="R64" i="2"/>
  <c r="Y63" i="2"/>
  <c r="X63" i="2"/>
  <c r="W63" i="2"/>
  <c r="V63" i="2"/>
  <c r="U63" i="2"/>
  <c r="T63" i="2"/>
  <c r="S63" i="2"/>
  <c r="R63" i="2"/>
  <c r="AI62" i="2"/>
  <c r="AJ60" i="2"/>
  <c r="Y56" i="2"/>
  <c r="X56" i="2"/>
  <c r="W56" i="2"/>
  <c r="V56" i="2"/>
  <c r="U56" i="2"/>
  <c r="T56" i="2"/>
  <c r="S56" i="2"/>
  <c r="R56" i="2"/>
  <c r="Y55" i="2"/>
  <c r="X55" i="2"/>
  <c r="W55" i="2"/>
  <c r="V55" i="2"/>
  <c r="U55" i="2"/>
  <c r="T55" i="2"/>
  <c r="S55" i="2"/>
  <c r="R55" i="2"/>
  <c r="Y54" i="2"/>
  <c r="X54" i="2"/>
  <c r="W54" i="2"/>
  <c r="V54" i="2"/>
  <c r="U54" i="2"/>
  <c r="T54" i="2"/>
  <c r="S54" i="2"/>
  <c r="R54" i="2"/>
  <c r="Y53" i="2"/>
  <c r="X53" i="2"/>
  <c r="W53" i="2"/>
  <c r="V53" i="2"/>
  <c r="U53" i="2"/>
  <c r="T53" i="2"/>
  <c r="S53" i="2"/>
  <c r="R53" i="2"/>
  <c r="Y52" i="2"/>
  <c r="X52" i="2"/>
  <c r="W52" i="2"/>
  <c r="V52" i="2"/>
  <c r="U52" i="2"/>
  <c r="T52" i="2"/>
  <c r="S52" i="2"/>
  <c r="R52" i="2"/>
  <c r="Y51" i="2"/>
  <c r="X51" i="2"/>
  <c r="W51" i="2"/>
  <c r="V51" i="2"/>
  <c r="U51" i="2"/>
  <c r="T51" i="2"/>
  <c r="S51" i="2"/>
  <c r="R51" i="2"/>
  <c r="Y50" i="2"/>
  <c r="X50" i="2"/>
  <c r="W50" i="2"/>
  <c r="V50" i="2"/>
  <c r="U50" i="2"/>
  <c r="T50" i="2"/>
  <c r="S50" i="2"/>
  <c r="R50" i="2"/>
  <c r="Y49" i="2"/>
  <c r="X49" i="2"/>
  <c r="W49" i="2"/>
  <c r="V49" i="2"/>
  <c r="U49" i="2"/>
  <c r="T49" i="2"/>
  <c r="S49" i="2"/>
  <c r="R49" i="2"/>
  <c r="Y48" i="2"/>
  <c r="X48" i="2"/>
  <c r="W48" i="2"/>
  <c r="V48" i="2"/>
  <c r="U48" i="2"/>
  <c r="T48" i="2"/>
  <c r="S48" i="2"/>
  <c r="R48" i="2"/>
  <c r="Y47" i="2"/>
  <c r="X47" i="2"/>
  <c r="W47" i="2"/>
  <c r="V47" i="2"/>
  <c r="U47" i="2"/>
  <c r="T47" i="2"/>
  <c r="S47" i="2"/>
  <c r="R47" i="2"/>
  <c r="Y46" i="2"/>
  <c r="X46" i="2"/>
  <c r="W46" i="2"/>
  <c r="V46" i="2"/>
  <c r="U46" i="2"/>
  <c r="T46" i="2"/>
  <c r="S46" i="2"/>
  <c r="R46" i="2"/>
  <c r="Y45" i="2"/>
  <c r="X45" i="2"/>
  <c r="W45" i="2"/>
  <c r="V45" i="2"/>
  <c r="U45" i="2"/>
  <c r="T45" i="2"/>
  <c r="S45" i="2"/>
  <c r="R45" i="2"/>
  <c r="Y44" i="2"/>
  <c r="X44" i="2"/>
  <c r="W44" i="2"/>
  <c r="V44" i="2"/>
  <c r="U44" i="2"/>
  <c r="T44" i="2"/>
  <c r="S44" i="2"/>
  <c r="R44" i="2"/>
  <c r="Y43" i="2"/>
  <c r="X43" i="2"/>
  <c r="W43" i="2"/>
  <c r="V43" i="2"/>
  <c r="U43" i="2"/>
  <c r="T43" i="2"/>
  <c r="S43" i="2"/>
  <c r="R43" i="2"/>
  <c r="Y42" i="2"/>
  <c r="X42" i="2"/>
  <c r="W42" i="2"/>
  <c r="V42" i="2"/>
  <c r="U42" i="2"/>
  <c r="T42" i="2"/>
  <c r="S42" i="2"/>
  <c r="R42" i="2"/>
  <c r="Y41" i="2"/>
  <c r="X41" i="2"/>
  <c r="W41" i="2"/>
  <c r="V41" i="2"/>
  <c r="U41" i="2"/>
  <c r="T41" i="2"/>
  <c r="S41" i="2"/>
  <c r="R41" i="2"/>
  <c r="Y40" i="2"/>
  <c r="X40" i="2"/>
  <c r="W40" i="2"/>
  <c r="V40" i="2"/>
  <c r="U40" i="2"/>
  <c r="T40" i="2"/>
  <c r="S40" i="2"/>
  <c r="R40" i="2"/>
  <c r="Y39" i="2"/>
  <c r="X39" i="2"/>
  <c r="W39" i="2"/>
  <c r="V39" i="2"/>
  <c r="U39" i="2"/>
  <c r="T39" i="2"/>
  <c r="S39" i="2"/>
  <c r="R39" i="2"/>
  <c r="Y38" i="2"/>
  <c r="X38" i="2"/>
  <c r="W38" i="2"/>
  <c r="V38" i="2"/>
  <c r="U38" i="2"/>
  <c r="T38" i="2"/>
  <c r="S38" i="2"/>
  <c r="R38" i="2"/>
  <c r="Y37" i="2"/>
  <c r="X37" i="2"/>
  <c r="W37" i="2"/>
  <c r="V37" i="2"/>
  <c r="U37" i="2"/>
  <c r="T37" i="2"/>
  <c r="S37" i="2"/>
  <c r="R37" i="2"/>
  <c r="Y36" i="2"/>
  <c r="X36" i="2"/>
  <c r="W36" i="2"/>
  <c r="V36" i="2"/>
  <c r="U36" i="2"/>
  <c r="T36" i="2"/>
  <c r="S36" i="2"/>
  <c r="R36" i="2"/>
  <c r="Y35" i="2"/>
  <c r="X35" i="2"/>
  <c r="W35" i="2"/>
  <c r="V35" i="2"/>
  <c r="U35" i="2"/>
  <c r="T35" i="2"/>
  <c r="S35" i="2"/>
  <c r="R35" i="2"/>
  <c r="Y34" i="2"/>
  <c r="X34" i="2"/>
  <c r="W34" i="2"/>
  <c r="V34" i="2"/>
  <c r="U34" i="2"/>
  <c r="T34" i="2"/>
  <c r="S34" i="2"/>
  <c r="R34" i="2"/>
  <c r="Y33" i="2"/>
  <c r="X33" i="2"/>
  <c r="W33" i="2"/>
  <c r="V33" i="2"/>
  <c r="U33" i="2"/>
  <c r="T33" i="2"/>
  <c r="S33" i="2"/>
  <c r="R33" i="2"/>
  <c r="AJ30" i="2"/>
  <c r="B18" i="2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AJ1" i="2"/>
  <c r="Y1" i="2"/>
  <c r="X1" i="2"/>
  <c r="AJ91" i="2" s="1"/>
  <c r="W1" i="2"/>
  <c r="AI91" i="2" s="1"/>
  <c r="V1" i="2"/>
  <c r="AH32" i="2" s="1"/>
  <c r="U1" i="2"/>
  <c r="AG62" i="2" s="1"/>
  <c r="T1" i="2"/>
  <c r="AF62" i="2" s="1"/>
  <c r="S1" i="2"/>
  <c r="AE32" i="2" s="1"/>
  <c r="R1" i="2"/>
  <c r="AD32" i="2" s="1"/>
  <c r="J2" i="1"/>
  <c r="T1" i="7"/>
  <c r="B9" i="3" l="1"/>
  <c r="B8" i="3"/>
  <c r="B32" i="2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AA92" i="2"/>
  <c r="AA94" i="2" s="1"/>
  <c r="AA96" i="2" s="1"/>
  <c r="AA98" i="2" s="1"/>
  <c r="AA100" i="2" s="1"/>
  <c r="AA102" i="2" s="1"/>
  <c r="AA104" i="2" s="1"/>
  <c r="AA106" i="2" s="1"/>
  <c r="AA108" i="2" s="1"/>
  <c r="AA110" i="2" s="1"/>
  <c r="AA112" i="2" s="1"/>
  <c r="AA114" i="2" s="1"/>
  <c r="B16" i="7"/>
  <c r="J75" i="4"/>
  <c r="E178" i="4" s="1"/>
  <c r="E179" i="4" s="1"/>
  <c r="E180" i="4" s="1"/>
  <c r="E181" i="4" s="1"/>
  <c r="E182" i="4" s="1"/>
  <c r="E183" i="4" s="1"/>
  <c r="E184" i="4" s="1"/>
  <c r="C31" i="7"/>
  <c r="J82" i="4"/>
  <c r="A13" i="10" s="1"/>
  <c r="A14" i="10" s="1"/>
  <c r="A15" i="10" s="1"/>
  <c r="AA33" i="2"/>
  <c r="AA35" i="2" s="1"/>
  <c r="AA37" i="2" s="1"/>
  <c r="AA39" i="2" s="1"/>
  <c r="AA41" i="2" s="1"/>
  <c r="AA43" i="2" s="1"/>
  <c r="AA45" i="2" s="1"/>
  <c r="AA47" i="2" s="1"/>
  <c r="AA49" i="2" s="1"/>
  <c r="AA51" i="2" s="1"/>
  <c r="AA53" i="2" s="1"/>
  <c r="AA55" i="2" s="1"/>
  <c r="AA93" i="2"/>
  <c r="C16" i="7"/>
  <c r="D120" i="4"/>
  <c r="D121" i="4" s="1"/>
  <c r="AA34" i="2"/>
  <c r="N16" i="7"/>
  <c r="J70" i="4"/>
  <c r="J72" i="4"/>
  <c r="J74" i="4"/>
  <c r="D178" i="4"/>
  <c r="J62" i="4"/>
  <c r="O16" i="7"/>
  <c r="J61" i="4"/>
  <c r="J83" i="4"/>
  <c r="J92" i="4"/>
  <c r="H60" i="6" s="1"/>
  <c r="I59" i="6" s="1"/>
  <c r="D236" i="4"/>
  <c r="D237" i="4" s="1"/>
  <c r="D238" i="4" s="1"/>
  <c r="B3" i="8"/>
  <c r="J73" i="4"/>
  <c r="E120" i="4" s="1"/>
  <c r="J91" i="4"/>
  <c r="R122" i="6" s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M4" i="7"/>
  <c r="M5" i="7" s="1"/>
  <c r="M6" i="7" s="1"/>
  <c r="M7" i="7" s="1"/>
  <c r="M8" i="7" s="1"/>
  <c r="M9" i="7" s="1"/>
  <c r="M10" i="7" s="1"/>
  <c r="M11" i="7" s="1"/>
  <c r="M12" i="7" s="1"/>
  <c r="M13" i="7" s="1"/>
  <c r="M14" i="7" s="1"/>
  <c r="M15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D62" i="4"/>
  <c r="C62" i="4" s="1" a="1"/>
  <c r="C62" i="4" s="1"/>
  <c r="J80" i="4"/>
  <c r="N291" i="6"/>
  <c r="N249" i="6"/>
  <c r="N207" i="6"/>
  <c r="I144" i="6"/>
  <c r="D81" i="6"/>
  <c r="I60" i="6"/>
  <c r="N39" i="6"/>
  <c r="D18" i="6"/>
  <c r="N144" i="6"/>
  <c r="D102" i="6"/>
  <c r="I81" i="6"/>
  <c r="N60" i="6"/>
  <c r="I291" i="6"/>
  <c r="I249" i="6"/>
  <c r="I207" i="6"/>
  <c r="D144" i="6"/>
  <c r="D60" i="6"/>
  <c r="I39" i="6"/>
  <c r="M18" i="3"/>
  <c r="D39" i="6"/>
  <c r="S39" i="6"/>
  <c r="N18" i="6"/>
  <c r="D291" i="6"/>
  <c r="D249" i="6"/>
  <c r="D207" i="6"/>
  <c r="N165" i="6"/>
  <c r="S123" i="6"/>
  <c r="D123" i="6"/>
  <c r="I102" i="6"/>
  <c r="N81" i="6"/>
  <c r="S60" i="6"/>
  <c r="S18" i="6"/>
  <c r="I18" i="6"/>
  <c r="N270" i="6"/>
  <c r="N228" i="6"/>
  <c r="N186" i="6"/>
  <c r="I165" i="6"/>
  <c r="N123" i="6"/>
  <c r="S102" i="6"/>
  <c r="D228" i="6"/>
  <c r="I270" i="6"/>
  <c r="I228" i="6"/>
  <c r="I186" i="6"/>
  <c r="D165" i="6"/>
  <c r="I123" i="6"/>
  <c r="N102" i="6"/>
  <c r="S81" i="6"/>
  <c r="D270" i="6"/>
  <c r="D186" i="6"/>
  <c r="J84" i="4"/>
  <c r="AA63" i="2"/>
  <c r="AA65" i="2" s="1"/>
  <c r="AA67" i="2" s="1"/>
  <c r="AA69" i="2" s="1"/>
  <c r="AA71" i="2" s="1"/>
  <c r="AA73" i="2" s="1"/>
  <c r="AA75" i="2" s="1"/>
  <c r="AA77" i="2" s="1"/>
  <c r="AA79" i="2" s="1"/>
  <c r="AA81" i="2" s="1"/>
  <c r="AA83" i="2" s="1"/>
  <c r="AA85" i="2" s="1"/>
  <c r="M19" i="7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J88" i="4"/>
  <c r="B13" i="10" s="1"/>
  <c r="C1" i="1"/>
  <c r="AI60" i="2"/>
  <c r="R1" i="3"/>
  <c r="AI30" i="2"/>
  <c r="H1" i="7"/>
  <c r="AI1" i="2"/>
  <c r="H1" i="10"/>
  <c r="AI89" i="2"/>
  <c r="U63" i="4"/>
  <c r="S64" i="4"/>
  <c r="E3" i="1"/>
  <c r="B10" i="6" s="1"/>
  <c r="E11" i="1"/>
  <c r="B178" i="6" s="1"/>
  <c r="E19" i="1"/>
  <c r="G52" i="6" s="1"/>
  <c r="E27" i="1"/>
  <c r="G220" i="6" s="1"/>
  <c r="E35" i="1"/>
  <c r="L94" i="6" s="1"/>
  <c r="E43" i="1"/>
  <c r="L262" i="6" s="1"/>
  <c r="E31" i="1"/>
  <c r="L10" i="6" s="1"/>
  <c r="E32" i="1"/>
  <c r="L31" i="6" s="1"/>
  <c r="E17" i="1"/>
  <c r="G10" i="6" s="1"/>
  <c r="E49" i="1"/>
  <c r="Q94" i="6" s="1"/>
  <c r="E10" i="1"/>
  <c r="B157" i="6" s="1"/>
  <c r="E18" i="1"/>
  <c r="G31" i="6" s="1"/>
  <c r="E42" i="1"/>
  <c r="L241" i="6" s="1"/>
  <c r="E50" i="1"/>
  <c r="Q115" i="6" s="1"/>
  <c r="E4" i="1"/>
  <c r="B31" i="6" s="1"/>
  <c r="E12" i="1"/>
  <c r="B199" i="6" s="1"/>
  <c r="E20" i="1"/>
  <c r="G73" i="6" s="1"/>
  <c r="E28" i="1"/>
  <c r="G241" i="6" s="1"/>
  <c r="E36" i="1"/>
  <c r="L115" i="6" s="1"/>
  <c r="E44" i="1"/>
  <c r="L283" i="6" s="1"/>
  <c r="E15" i="1"/>
  <c r="B262" i="6" s="1"/>
  <c r="E39" i="1"/>
  <c r="L178" i="6" s="1"/>
  <c r="E24" i="1"/>
  <c r="G157" i="6" s="1"/>
  <c r="E9" i="1"/>
  <c r="B136" i="6" s="1"/>
  <c r="E41" i="1"/>
  <c r="L220" i="6" s="1"/>
  <c r="E5" i="1"/>
  <c r="B52" i="6" s="1"/>
  <c r="E13" i="1"/>
  <c r="B220" i="6" s="1"/>
  <c r="E21" i="1"/>
  <c r="G94" i="6" s="1"/>
  <c r="E29" i="1"/>
  <c r="G262" i="6" s="1"/>
  <c r="E37" i="1"/>
  <c r="L136" i="6" s="1"/>
  <c r="E45" i="1"/>
  <c r="Q10" i="6" s="1"/>
  <c r="E23" i="1"/>
  <c r="G136" i="6" s="1"/>
  <c r="E16" i="1"/>
  <c r="B283" i="6" s="1"/>
  <c r="E40" i="1"/>
  <c r="L199" i="6" s="1"/>
  <c r="E33" i="1"/>
  <c r="L52" i="6" s="1"/>
  <c r="E26" i="1"/>
  <c r="G199" i="6" s="1"/>
  <c r="E6" i="1"/>
  <c r="B73" i="6" s="1"/>
  <c r="E14" i="1"/>
  <c r="B241" i="6" s="1"/>
  <c r="E22" i="1"/>
  <c r="G115" i="6" s="1"/>
  <c r="E30" i="1"/>
  <c r="G283" i="6" s="1"/>
  <c r="E38" i="1"/>
  <c r="L157" i="6" s="1"/>
  <c r="E46" i="1"/>
  <c r="Q31" i="6" s="1"/>
  <c r="E7" i="1"/>
  <c r="B94" i="6" s="1"/>
  <c r="E47" i="1"/>
  <c r="Q52" i="6" s="1"/>
  <c r="E8" i="1"/>
  <c r="B115" i="6" s="1"/>
  <c r="E48" i="1"/>
  <c r="Q73" i="6" s="1"/>
  <c r="E25" i="1"/>
  <c r="G178" i="6" s="1"/>
  <c r="E34" i="1"/>
  <c r="L73" i="6" s="1"/>
  <c r="AJ32" i="2"/>
  <c r="AD3" i="2"/>
  <c r="D3" i="7" s="1"/>
  <c r="D18" i="7" s="1"/>
  <c r="P3" i="7" s="1"/>
  <c r="P18" i="7" s="1"/>
  <c r="X14" i="2"/>
  <c r="AJ25" i="2" s="1"/>
  <c r="AH62" i="2"/>
  <c r="AE3" i="2"/>
  <c r="E3" i="7" s="1"/>
  <c r="E18" i="7" s="1"/>
  <c r="Q3" i="7" s="1"/>
  <c r="Q18" i="7" s="1"/>
  <c r="AE62" i="2"/>
  <c r="F1" i="2"/>
  <c r="E185" i="4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K1" i="2"/>
  <c r="Y14" i="2"/>
  <c r="AK25" i="2" s="1"/>
  <c r="X6" i="2"/>
  <c r="J115" i="8" s="1"/>
  <c r="X10" i="2"/>
  <c r="J10" i="7" s="1"/>
  <c r="AD62" i="2"/>
  <c r="T5" i="2"/>
  <c r="AF6" i="2" s="1"/>
  <c r="T6" i="2"/>
  <c r="AF9" i="2" s="1"/>
  <c r="G1" i="2"/>
  <c r="AH3" i="2"/>
  <c r="H3" i="7" s="1"/>
  <c r="H18" i="7" s="1"/>
  <c r="T3" i="7" s="1"/>
  <c r="T18" i="7" s="1"/>
  <c r="X8" i="2"/>
  <c r="J117" i="8" s="1"/>
  <c r="T13" i="2"/>
  <c r="AF22" i="2" s="1"/>
  <c r="AF32" i="2"/>
  <c r="L73" i="4" a="1"/>
  <c r="L73" i="4" s="1"/>
  <c r="S15" i="2"/>
  <c r="AE26" i="2" s="1"/>
  <c r="AI32" i="2"/>
  <c r="L62" i="4" a="1"/>
  <c r="L62" i="4" s="1"/>
  <c r="P62" i="4" s="1"/>
  <c r="C121" i="4" a="1"/>
  <c r="C121" i="4" s="1"/>
  <c r="G121" i="4" s="1"/>
  <c r="X13" i="2"/>
  <c r="AJ22" i="2" s="1"/>
  <c r="T15" i="2"/>
  <c r="AF27" i="2" s="1"/>
  <c r="T9" i="2"/>
  <c r="AF14" i="2" s="1"/>
  <c r="J1" i="2"/>
  <c r="AI3" i="2"/>
  <c r="I3" i="7" s="1"/>
  <c r="I18" i="7" s="1"/>
  <c r="U3" i="7" s="1"/>
  <c r="U18" i="7" s="1"/>
  <c r="X12" i="2"/>
  <c r="AJ21" i="2" s="1"/>
  <c r="T11" i="2"/>
  <c r="AF19" i="2" s="1"/>
  <c r="E121" i="4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" i="2"/>
  <c r="AD91" i="2"/>
  <c r="AJ3" i="2"/>
  <c r="J3" i="7" s="1"/>
  <c r="J18" i="7" s="1"/>
  <c r="V3" i="7" s="1"/>
  <c r="V18" i="7" s="1"/>
  <c r="R5" i="2"/>
  <c r="D114" i="8" s="1"/>
  <c r="V6" i="2"/>
  <c r="H115" i="8" s="1"/>
  <c r="R7" i="2"/>
  <c r="AD11" i="2" s="1"/>
  <c r="V8" i="2"/>
  <c r="AH13" i="2" s="1"/>
  <c r="R9" i="2"/>
  <c r="D118" i="8" s="1"/>
  <c r="V10" i="2"/>
  <c r="H119" i="8" s="1"/>
  <c r="R11" i="2"/>
  <c r="AD19" i="2" s="1"/>
  <c r="V12" i="2"/>
  <c r="AH20" i="2" s="1"/>
  <c r="R13" i="2"/>
  <c r="AD22" i="2" s="1"/>
  <c r="V14" i="2"/>
  <c r="H123" i="8" s="1"/>
  <c r="R15" i="2"/>
  <c r="AD27" i="2" s="1"/>
  <c r="AK32" i="2"/>
  <c r="AJ62" i="2"/>
  <c r="AE91" i="2"/>
  <c r="L67" i="4" a="1"/>
  <c r="L67" i="4" s="1"/>
  <c r="P67" i="4" s="1"/>
  <c r="C178" i="4" a="1"/>
  <c r="C178" i="4" s="1"/>
  <c r="G178" i="4" s="1"/>
  <c r="AK3" i="2"/>
  <c r="K3" i="7" s="1"/>
  <c r="K18" i="7" s="1"/>
  <c r="W3" i="7" s="1"/>
  <c r="W18" i="7" s="1"/>
  <c r="W6" i="2"/>
  <c r="AI8" i="2" s="1"/>
  <c r="S7" i="2"/>
  <c r="AE10" i="2" s="1"/>
  <c r="W8" i="2"/>
  <c r="AI13" i="2" s="1"/>
  <c r="W10" i="2"/>
  <c r="AI17" i="2" s="1"/>
  <c r="S11" i="2"/>
  <c r="AE19" i="2" s="1"/>
  <c r="W12" i="2"/>
  <c r="AI20" i="2" s="1"/>
  <c r="S13" i="2"/>
  <c r="AE22" i="2" s="1"/>
  <c r="W14" i="2"/>
  <c r="AI25" i="2" s="1"/>
  <c r="AK62" i="2"/>
  <c r="AF91" i="2"/>
  <c r="L1" i="2"/>
  <c r="AK91" i="2"/>
  <c r="H1" i="2"/>
  <c r="T7" i="2"/>
  <c r="AF10" i="2" s="1"/>
  <c r="I1" i="2"/>
  <c r="U7" i="2"/>
  <c r="G116" i="8" s="1"/>
  <c r="AG91" i="2"/>
  <c r="AF3" i="2"/>
  <c r="F3" i="7" s="1"/>
  <c r="F18" i="7" s="1"/>
  <c r="R3" i="7" s="1"/>
  <c r="R18" i="7" s="1"/>
  <c r="AG32" i="2"/>
  <c r="L83" i="4" a="1"/>
  <c r="L83" i="4" s="1"/>
  <c r="W9" i="2" s="1"/>
  <c r="AI14" i="2" s="1"/>
  <c r="Y6" i="2"/>
  <c r="AK8" i="2" s="1"/>
  <c r="Y8" i="2"/>
  <c r="AK13" i="2" s="1"/>
  <c r="Y10" i="2"/>
  <c r="AK17" i="2" s="1"/>
  <c r="U11" i="2"/>
  <c r="G120" i="8" s="1"/>
  <c r="Y12" i="2"/>
  <c r="K121" i="8" s="1"/>
  <c r="U13" i="2"/>
  <c r="G122" i="8" s="1"/>
  <c r="U15" i="2"/>
  <c r="G15" i="7" s="1"/>
  <c r="AH91" i="2"/>
  <c r="AG3" i="2"/>
  <c r="G3" i="7" s="1"/>
  <c r="G18" i="7" s="1"/>
  <c r="S3" i="7" s="1"/>
  <c r="S18" i="7" s="1"/>
  <c r="M11" i="3"/>
  <c r="L12" i="3" s="1"/>
  <c r="M12" i="3" s="1"/>
  <c r="P105" i="4"/>
  <c r="U14" i="2"/>
  <c r="G123" i="8" s="1"/>
  <c r="P77" i="4"/>
  <c r="Y7" i="2"/>
  <c r="AK11" i="2" s="1"/>
  <c r="P93" i="4"/>
  <c r="Y11" i="2"/>
  <c r="K120" i="8" s="1"/>
  <c r="P68" i="4"/>
  <c r="X5" i="2"/>
  <c r="AJ7" i="2" s="1"/>
  <c r="P76" i="4"/>
  <c r="X7" i="2"/>
  <c r="J116" i="8" s="1"/>
  <c r="P80" i="4"/>
  <c r="T8" i="2"/>
  <c r="F8" i="7" s="1"/>
  <c r="P79" i="4"/>
  <c r="S8" i="2"/>
  <c r="AE13" i="2" s="1"/>
  <c r="P107" i="4"/>
  <c r="W15" i="2"/>
  <c r="AI27" i="2" s="1"/>
  <c r="P90" i="4"/>
  <c r="V11" i="2"/>
  <c r="AH18" i="2" s="1"/>
  <c r="P98" i="4"/>
  <c r="V13" i="2"/>
  <c r="AH22" i="2" s="1"/>
  <c r="P70" i="4"/>
  <c r="R6" i="2"/>
  <c r="AD9" i="2" s="1"/>
  <c r="P81" i="4"/>
  <c r="U8" i="2"/>
  <c r="AG13" i="2" s="1"/>
  <c r="P95" i="4"/>
  <c r="S12" i="2"/>
  <c r="AE20" i="2" s="1"/>
  <c r="C35" i="2"/>
  <c r="D35" i="2" s="1"/>
  <c r="D179" i="4"/>
  <c r="C179" i="4" s="1" a="1"/>
  <c r="C179" i="4" s="1"/>
  <c r="B4" i="7"/>
  <c r="B5" i="7" s="1"/>
  <c r="B6" i="7" s="1"/>
  <c r="B7" i="7" s="1"/>
  <c r="C7" i="7" s="1"/>
  <c r="AB64" i="2"/>
  <c r="N19" i="7"/>
  <c r="N20" i="7" s="1"/>
  <c r="O20" i="7" s="1"/>
  <c r="C39" i="2"/>
  <c r="D39" i="2" s="1"/>
  <c r="C42" i="2"/>
  <c r="D42" i="2" s="1"/>
  <c r="C19" i="2"/>
  <c r="D19" i="2" s="1"/>
  <c r="C23" i="2"/>
  <c r="D23" i="2" s="1"/>
  <c r="C27" i="2"/>
  <c r="D27" i="2" s="1"/>
  <c r="AB92" i="2"/>
  <c r="AB94" i="2" s="1"/>
  <c r="C219" i="6"/>
  <c r="D219" i="6" s="1"/>
  <c r="M135" i="6"/>
  <c r="N135" i="6" s="1"/>
  <c r="C114" i="6"/>
  <c r="D114" i="6" s="1"/>
  <c r="R30" i="6"/>
  <c r="S30" i="6" s="1"/>
  <c r="H9" i="6"/>
  <c r="I9" i="6" s="1"/>
  <c r="H156" i="6"/>
  <c r="I156" i="6" s="1"/>
  <c r="H177" i="6"/>
  <c r="I177" i="6" s="1"/>
  <c r="H135" i="6"/>
  <c r="I135" i="6" s="1"/>
  <c r="R51" i="6"/>
  <c r="S51" i="6" s="1"/>
  <c r="M30" i="6"/>
  <c r="N30" i="6" s="1"/>
  <c r="M51" i="6"/>
  <c r="N51" i="6" s="1"/>
  <c r="H30" i="6"/>
  <c r="I30" i="6" s="1"/>
  <c r="M93" i="6"/>
  <c r="N93" i="6" s="1"/>
  <c r="M72" i="6"/>
  <c r="N72" i="6" s="1"/>
  <c r="C51" i="6"/>
  <c r="D51" i="6" s="1"/>
  <c r="M198" i="6"/>
  <c r="N198" i="6" s="1"/>
  <c r="C135" i="6"/>
  <c r="D135" i="6" s="1"/>
  <c r="R93" i="6"/>
  <c r="S93" i="6" s="1"/>
  <c r="R72" i="6"/>
  <c r="S72" i="6" s="1"/>
  <c r="M9" i="6"/>
  <c r="N9" i="6" s="1"/>
  <c r="M261" i="6"/>
  <c r="N261" i="6" s="1"/>
  <c r="H198" i="6"/>
  <c r="I198" i="6" s="1"/>
  <c r="C177" i="6"/>
  <c r="D177" i="6" s="1"/>
  <c r="M282" i="6"/>
  <c r="N282" i="6" s="1"/>
  <c r="M240" i="6"/>
  <c r="N240" i="6" s="1"/>
  <c r="C198" i="6"/>
  <c r="D198" i="6" s="1"/>
  <c r="M156" i="6"/>
  <c r="N156" i="6" s="1"/>
  <c r="R114" i="6"/>
  <c r="S114" i="6" s="1"/>
  <c r="H93" i="6"/>
  <c r="I93" i="6" s="1"/>
  <c r="H72" i="6"/>
  <c r="I72" i="6" s="1"/>
  <c r="H51" i="6"/>
  <c r="I51" i="6" s="1"/>
  <c r="C30" i="6"/>
  <c r="D30" i="6" s="1"/>
  <c r="H282" i="6"/>
  <c r="I282" i="6" s="1"/>
  <c r="H261" i="6"/>
  <c r="I261" i="6" s="1"/>
  <c r="H240" i="6"/>
  <c r="I240" i="6" s="1"/>
  <c r="M219" i="6"/>
  <c r="N219" i="6" s="1"/>
  <c r="M114" i="6"/>
  <c r="N114" i="6" s="1"/>
  <c r="C93" i="6"/>
  <c r="D93" i="6" s="1"/>
  <c r="C282" i="6"/>
  <c r="D282" i="6" s="1"/>
  <c r="C261" i="6"/>
  <c r="D261" i="6" s="1"/>
  <c r="H219" i="6"/>
  <c r="I219" i="6" s="1"/>
  <c r="C156" i="6"/>
  <c r="D156" i="6" s="1"/>
  <c r="H114" i="6"/>
  <c r="I114" i="6" s="1"/>
  <c r="C72" i="6"/>
  <c r="D72" i="6" s="1"/>
  <c r="R9" i="6"/>
  <c r="S9" i="6" s="1"/>
  <c r="C240" i="6"/>
  <c r="D240" i="6" s="1"/>
  <c r="M177" i="6"/>
  <c r="N177" i="6" s="1"/>
  <c r="C18" i="2"/>
  <c r="D18" i="2" s="1"/>
  <c r="C22" i="2"/>
  <c r="D22" i="2" s="1"/>
  <c r="C26" i="2"/>
  <c r="D26" i="2" s="1"/>
  <c r="C34" i="2"/>
  <c r="D34" i="2" s="1"/>
  <c r="AB93" i="2"/>
  <c r="C120" i="4" a="1"/>
  <c r="C120" i="4" s="1"/>
  <c r="C21" i="2"/>
  <c r="D21" i="2" s="1"/>
  <c r="C25" i="2"/>
  <c r="D25" i="2" s="1"/>
  <c r="C29" i="2"/>
  <c r="D29" i="2" s="1"/>
  <c r="C33" i="2"/>
  <c r="D33" i="2" s="1"/>
  <c r="C37" i="2"/>
  <c r="D37" i="2" s="1"/>
  <c r="C40" i="2"/>
  <c r="D40" i="2" s="1"/>
  <c r="C43" i="2"/>
  <c r="D43" i="2" s="1"/>
  <c r="N4" i="7"/>
  <c r="C206" i="6"/>
  <c r="H38" i="6"/>
  <c r="R80" i="6"/>
  <c r="M17" i="6"/>
  <c r="M59" i="6"/>
  <c r="C290" i="6"/>
  <c r="M269" i="6"/>
  <c r="M248" i="6"/>
  <c r="H164" i="6"/>
  <c r="M143" i="6"/>
  <c r="M101" i="6"/>
  <c r="H80" i="6"/>
  <c r="H59" i="6"/>
  <c r="R38" i="6"/>
  <c r="C38" i="6"/>
  <c r="C80" i="6"/>
  <c r="H17" i="6"/>
  <c r="M227" i="6"/>
  <c r="H185" i="6"/>
  <c r="M122" i="6"/>
  <c r="R17" i="6"/>
  <c r="C59" i="6"/>
  <c r="C143" i="6"/>
  <c r="H122" i="6"/>
  <c r="H269" i="6"/>
  <c r="M206" i="6"/>
  <c r="C164" i="6"/>
  <c r="H143" i="6"/>
  <c r="M290" i="6"/>
  <c r="H248" i="6"/>
  <c r="H227" i="6"/>
  <c r="C185" i="6"/>
  <c r="H101" i="6"/>
  <c r="R59" i="6"/>
  <c r="C269" i="6"/>
  <c r="M38" i="6"/>
  <c r="C248" i="6"/>
  <c r="C227" i="6"/>
  <c r="H206" i="6"/>
  <c r="M164" i="6"/>
  <c r="R101" i="6"/>
  <c r="C101" i="6"/>
  <c r="M80" i="6"/>
  <c r="H290" i="6"/>
  <c r="M185" i="6"/>
  <c r="C122" i="6"/>
  <c r="H102" i="6"/>
  <c r="I101" i="6" s="1"/>
  <c r="H144" i="6"/>
  <c r="I143" i="6" s="1"/>
  <c r="R102" i="6"/>
  <c r="S101" i="6" s="1"/>
  <c r="C32" i="2"/>
  <c r="D32" i="2" s="1"/>
  <c r="C20" i="2"/>
  <c r="D20" i="2" s="1"/>
  <c r="C24" i="2"/>
  <c r="D24" i="2" s="1"/>
  <c r="C28" i="2"/>
  <c r="D28" i="2" s="1"/>
  <c r="C36" i="2"/>
  <c r="D36" i="2" s="1"/>
  <c r="AB63" i="2"/>
  <c r="F36" i="6"/>
  <c r="P36" i="6"/>
  <c r="A36" i="6"/>
  <c r="K36" i="6"/>
  <c r="G22" i="6"/>
  <c r="Q22" i="6"/>
  <c r="L22" i="6"/>
  <c r="B43" i="6"/>
  <c r="P71" i="4"/>
  <c r="S6" i="2"/>
  <c r="AE9" i="2" s="1"/>
  <c r="P101" i="4"/>
  <c r="Y13" i="2"/>
  <c r="K122" i="8" s="1"/>
  <c r="P73" i="4"/>
  <c r="U6" i="2"/>
  <c r="G6" i="7" s="1"/>
  <c r="P74" i="4"/>
  <c r="V7" i="2"/>
  <c r="AH11" i="2" s="1"/>
  <c r="P75" i="4"/>
  <c r="W7" i="2"/>
  <c r="AI10" i="2" s="1"/>
  <c r="R8" i="2"/>
  <c r="AD13" i="2" s="1"/>
  <c r="P78" i="4"/>
  <c r="W13" i="2"/>
  <c r="AI22" i="2" s="1"/>
  <c r="P99" i="4"/>
  <c r="P102" i="4"/>
  <c r="R14" i="2"/>
  <c r="AD25" i="2" s="1"/>
  <c r="P65" i="4"/>
  <c r="P66" i="4"/>
  <c r="V5" i="2"/>
  <c r="AH7" i="2" s="1"/>
  <c r="P69" i="4"/>
  <c r="T14" i="2"/>
  <c r="F123" i="8" s="1"/>
  <c r="P104" i="4"/>
  <c r="P63" i="4"/>
  <c r="P64" i="4"/>
  <c r="S14" i="2"/>
  <c r="AE25" i="2" s="1"/>
  <c r="P103" i="4"/>
  <c r="P94" i="4"/>
  <c r="R12" i="2"/>
  <c r="AD20" i="2" s="1"/>
  <c r="P109" i="4"/>
  <c r="Y15" i="2"/>
  <c r="K15" i="7" s="1"/>
  <c r="W11" i="2"/>
  <c r="AI19" i="2" s="1"/>
  <c r="P91" i="4"/>
  <c r="X15" i="2"/>
  <c r="AJ27" i="2" s="1"/>
  <c r="P108" i="4"/>
  <c r="P97" i="4"/>
  <c r="U12" i="2"/>
  <c r="AG20" i="2" s="1"/>
  <c r="T12" i="2"/>
  <c r="F12" i="7" s="1"/>
  <c r="P96" i="4"/>
  <c r="P82" i="4"/>
  <c r="V9" i="2"/>
  <c r="AH15" i="2" s="1"/>
  <c r="X9" i="2"/>
  <c r="AJ14" i="2" s="1"/>
  <c r="P84" i="4"/>
  <c r="P86" i="4"/>
  <c r="R10" i="2"/>
  <c r="AD17" i="2" s="1"/>
  <c r="P89" i="4"/>
  <c r="U10" i="2"/>
  <c r="G10" i="7" s="1"/>
  <c r="X11" i="2"/>
  <c r="AJ19" i="2" s="1"/>
  <c r="P92" i="4"/>
  <c r="S10" i="2"/>
  <c r="AE16" i="2" s="1"/>
  <c r="P87" i="4"/>
  <c r="T10" i="2"/>
  <c r="AF16" i="2" s="1"/>
  <c r="P88" i="4"/>
  <c r="P106" i="4"/>
  <c r="V15" i="2"/>
  <c r="AH26" i="2" s="1"/>
  <c r="P72" i="4"/>
  <c r="P100" i="4"/>
  <c r="L7" i="3"/>
  <c r="L9" i="3"/>
  <c r="B14" i="10"/>
  <c r="C13" i="10"/>
  <c r="E236" i="4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B4" i="10"/>
  <c r="C9" i="6"/>
  <c r="D9" i="6" s="1"/>
  <c r="N62" i="4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D122" i="4"/>
  <c r="D123" i="4" s="1"/>
  <c r="C123" i="4" s="1" a="1"/>
  <c r="C123" i="4" s="1"/>
  <c r="B119" i="8"/>
  <c r="C119" i="8" s="1"/>
  <c r="B124" i="8"/>
  <c r="C124" i="8" s="1"/>
  <c r="B116" i="8"/>
  <c r="C116" i="8" s="1"/>
  <c r="B121" i="8"/>
  <c r="C121" i="8" s="1"/>
  <c r="B113" i="8"/>
  <c r="C113" i="8" s="1"/>
  <c r="B118" i="8"/>
  <c r="C118" i="8" s="1"/>
  <c r="B123" i="8"/>
  <c r="C123" i="8" s="1"/>
  <c r="B115" i="8"/>
  <c r="C115" i="8" s="1"/>
  <c r="B120" i="8"/>
  <c r="C120" i="8" s="1"/>
  <c r="B117" i="8"/>
  <c r="C117" i="8" s="1"/>
  <c r="B122" i="8"/>
  <c r="C122" i="8" s="1"/>
  <c r="C17" i="6"/>
  <c r="C9" i="2"/>
  <c r="D9" i="2" s="1"/>
  <c r="AB33" i="2"/>
  <c r="C13" i="2"/>
  <c r="D13" i="2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B19" i="7"/>
  <c r="C14" i="2"/>
  <c r="D14" i="2" s="1"/>
  <c r="C10" i="2"/>
  <c r="D10" i="2" s="1"/>
  <c r="C6" i="2"/>
  <c r="D6" i="2" s="1"/>
  <c r="AB34" i="2"/>
  <c r="C15" i="2"/>
  <c r="D15" i="2" s="1"/>
  <c r="C11" i="2"/>
  <c r="D11" i="2" s="1"/>
  <c r="C7" i="2"/>
  <c r="D7" i="2" s="1"/>
  <c r="C4" i="2"/>
  <c r="D4" i="2" s="1"/>
  <c r="C12" i="2"/>
  <c r="D12" i="2" s="1"/>
  <c r="C8" i="2"/>
  <c r="D8" i="2" s="1"/>
  <c r="C5" i="2"/>
  <c r="D5" i="2" s="1"/>
  <c r="AD6" i="2"/>
  <c r="K123" i="8"/>
  <c r="M249" i="6" l="1"/>
  <c r="N248" i="6" s="1"/>
  <c r="B53" i="8"/>
  <c r="H81" i="6"/>
  <c r="I80" i="6" s="1"/>
  <c r="R39" i="6"/>
  <c r="S38" i="6" s="1"/>
  <c r="C236" i="4" a="1"/>
  <c r="C236" i="4" s="1"/>
  <c r="D63" i="4"/>
  <c r="D64" i="4" s="1"/>
  <c r="H249" i="6"/>
  <c r="I248" i="6" s="1"/>
  <c r="C291" i="6"/>
  <c r="D290" i="6" s="1"/>
  <c r="M102" i="6"/>
  <c r="N101" i="6" s="1"/>
  <c r="C5" i="7"/>
  <c r="H270" i="6"/>
  <c r="I269" i="6" s="1"/>
  <c r="R81" i="6"/>
  <c r="S80" i="6" s="1"/>
  <c r="M165" i="6"/>
  <c r="N164" i="6" s="1"/>
  <c r="L18" i="3"/>
  <c r="M18" i="6"/>
  <c r="N17" i="6" s="1"/>
  <c r="C228" i="6"/>
  <c r="D227" i="6" s="1"/>
  <c r="A58" i="8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B69" i="8" s="1"/>
  <c r="C69" i="8" s="1"/>
  <c r="D180" i="4"/>
  <c r="D181" i="4" s="1"/>
  <c r="C181" i="4" s="1" a="1"/>
  <c r="C181" i="4" s="1"/>
  <c r="H207" i="6"/>
  <c r="I206" i="6" s="1"/>
  <c r="M228" i="6"/>
  <c r="N227" i="6" s="1"/>
  <c r="M123" i="6"/>
  <c r="N122" i="6" s="1"/>
  <c r="C6" i="7"/>
  <c r="C270" i="6"/>
  <c r="D269" i="6" s="1"/>
  <c r="M144" i="6"/>
  <c r="N143" i="6" s="1"/>
  <c r="C207" i="6"/>
  <c r="D206" i="6" s="1"/>
  <c r="B8" i="7"/>
  <c r="M60" i="6"/>
  <c r="N59" i="6" s="1"/>
  <c r="H186" i="6"/>
  <c r="I185" i="6" s="1"/>
  <c r="H39" i="6"/>
  <c r="I38" i="6" s="1"/>
  <c r="A4" i="10"/>
  <c r="A5" i="10" s="1"/>
  <c r="A6" i="10" s="1"/>
  <c r="I10" i="7"/>
  <c r="B97" i="8"/>
  <c r="I119" i="8"/>
  <c r="D3" i="3"/>
  <c r="D100" i="8" s="1"/>
  <c r="A82" i="8"/>
  <c r="A83" i="8" s="1"/>
  <c r="A84" i="8" s="1"/>
  <c r="AC92" i="2"/>
  <c r="R60" i="6"/>
  <c r="S59" i="6" s="1"/>
  <c r="H291" i="6"/>
  <c r="I290" i="6" s="1"/>
  <c r="T63" i="4"/>
  <c r="AG26" i="2"/>
  <c r="M270" i="6"/>
  <c r="N269" i="6" s="1"/>
  <c r="B96" i="8"/>
  <c r="B108" i="8"/>
  <c r="R123" i="6"/>
  <c r="S122" i="6" s="1"/>
  <c r="M291" i="6"/>
  <c r="N290" i="6" s="1"/>
  <c r="C102" i="6"/>
  <c r="D101" i="6" s="1"/>
  <c r="M207" i="6"/>
  <c r="N206" i="6" s="1"/>
  <c r="C39" i="6"/>
  <c r="D38" i="6" s="1"/>
  <c r="M39" i="6"/>
  <c r="N38" i="6" s="1"/>
  <c r="C41" i="2"/>
  <c r="D41" i="2" s="1"/>
  <c r="H228" i="6"/>
  <c r="I227" i="6" s="1"/>
  <c r="R18" i="6"/>
  <c r="S17" i="6" s="1"/>
  <c r="H18" i="6"/>
  <c r="I17" i="6" s="1"/>
  <c r="AD15" i="2"/>
  <c r="A70" i="8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B81" i="8" s="1"/>
  <c r="C81" i="8" s="1"/>
  <c r="C4" i="7"/>
  <c r="E32" i="2"/>
  <c r="C144" i="6"/>
  <c r="D143" i="6" s="1"/>
  <c r="C123" i="6"/>
  <c r="D122" i="6" s="1"/>
  <c r="C165" i="6"/>
  <c r="D164" i="6" s="1"/>
  <c r="C60" i="6"/>
  <c r="D59" i="6" s="1"/>
  <c r="C81" i="6"/>
  <c r="D80" i="6" s="1"/>
  <c r="M81" i="6"/>
  <c r="N80" i="6" s="1"/>
  <c r="B114" i="8"/>
  <c r="C114" i="8" s="1"/>
  <c r="P4" i="2"/>
  <c r="AI16" i="2"/>
  <c r="C18" i="6"/>
  <c r="D17" i="6" s="1"/>
  <c r="C249" i="6"/>
  <c r="D248" i="6" s="1"/>
  <c r="C186" i="6"/>
  <c r="D185" i="6" s="1"/>
  <c r="H123" i="6"/>
  <c r="I122" i="6" s="1"/>
  <c r="H165" i="6"/>
  <c r="I164" i="6" s="1"/>
  <c r="M186" i="6"/>
  <c r="N185" i="6" s="1"/>
  <c r="B105" i="8"/>
  <c r="L13" i="3"/>
  <c r="C8" i="3"/>
  <c r="M13" i="3" s="1"/>
  <c r="C38" i="2"/>
  <c r="D38" i="2" s="1"/>
  <c r="L14" i="3"/>
  <c r="B106" i="8"/>
  <c r="C9" i="3"/>
  <c r="M14" i="3" s="1"/>
  <c r="L15" i="3" s="1"/>
  <c r="M15" i="3" s="1"/>
  <c r="L16" i="3" s="1"/>
  <c r="AJ12" i="2"/>
  <c r="AJ13" i="2"/>
  <c r="R1" i="7"/>
  <c r="AH89" i="2"/>
  <c r="Q1" i="3"/>
  <c r="F1" i="10"/>
  <c r="AH60" i="2"/>
  <c r="AH1" i="2"/>
  <c r="F1" i="7"/>
  <c r="AH30" i="2"/>
  <c r="F118" i="8"/>
  <c r="J8" i="7"/>
  <c r="AF23" i="2"/>
  <c r="AK16" i="2"/>
  <c r="K10" i="7"/>
  <c r="AD23" i="2"/>
  <c r="J119" i="8"/>
  <c r="AH16" i="2"/>
  <c r="F15" i="7"/>
  <c r="F9" i="7"/>
  <c r="H10" i="7"/>
  <c r="AJ16" i="2"/>
  <c r="J6" i="7"/>
  <c r="AJ8" i="2"/>
  <c r="F13" i="7"/>
  <c r="J14" i="7"/>
  <c r="F122" i="8"/>
  <c r="U64" i="4"/>
  <c r="S65" i="4"/>
  <c r="AH17" i="2"/>
  <c r="AH24" i="2"/>
  <c r="AJ24" i="2"/>
  <c r="F124" i="8"/>
  <c r="J123" i="8"/>
  <c r="AJ9" i="2"/>
  <c r="D120" i="8"/>
  <c r="AF26" i="2"/>
  <c r="F116" i="8"/>
  <c r="AF8" i="2"/>
  <c r="AF15" i="2"/>
  <c r="F6" i="7"/>
  <c r="H12" i="7"/>
  <c r="AJ17" i="2"/>
  <c r="AH21" i="2"/>
  <c r="H121" i="8"/>
  <c r="AH8" i="2"/>
  <c r="K119" i="8"/>
  <c r="AJ20" i="2"/>
  <c r="J12" i="7"/>
  <c r="F115" i="8"/>
  <c r="AH9" i="2"/>
  <c r="J121" i="8"/>
  <c r="AH25" i="2"/>
  <c r="AI9" i="2"/>
  <c r="I115" i="8"/>
  <c r="AE27" i="2"/>
  <c r="H14" i="7"/>
  <c r="H6" i="7"/>
  <c r="G7" i="7"/>
  <c r="K117" i="8"/>
  <c r="Y9" i="2"/>
  <c r="AK14" i="2" s="1"/>
  <c r="U9" i="2"/>
  <c r="AG15" i="2" s="1"/>
  <c r="Y5" i="2"/>
  <c r="AK7" i="2" s="1"/>
  <c r="U5" i="2"/>
  <c r="S5" i="2"/>
  <c r="S9" i="2"/>
  <c r="G14" i="7"/>
  <c r="AG24" i="2"/>
  <c r="R4" i="2"/>
  <c r="AD5" i="2" s="1"/>
  <c r="AI12" i="2"/>
  <c r="H117" i="8"/>
  <c r="I8" i="7"/>
  <c r="T4" i="2"/>
  <c r="F113" i="8" s="1"/>
  <c r="Y4" i="2"/>
  <c r="AK4" i="2" s="1"/>
  <c r="AG27" i="2"/>
  <c r="I117" i="8"/>
  <c r="G124" i="8"/>
  <c r="K14" i="7"/>
  <c r="AF18" i="2"/>
  <c r="AK21" i="2"/>
  <c r="AG25" i="2"/>
  <c r="S4" i="2"/>
  <c r="AE5" i="2" s="1"/>
  <c r="U4" i="2"/>
  <c r="AG5" i="2" s="1"/>
  <c r="X4" i="2"/>
  <c r="V4" i="2"/>
  <c r="AH4" i="2" s="1"/>
  <c r="W4" i="2"/>
  <c r="E122" i="8"/>
  <c r="AG22" i="2"/>
  <c r="E124" i="8"/>
  <c r="D116" i="8"/>
  <c r="AF11" i="2"/>
  <c r="D122" i="8"/>
  <c r="K6" i="7"/>
  <c r="AG23" i="2"/>
  <c r="AD7" i="2"/>
  <c r="AE23" i="2"/>
  <c r="AF7" i="2"/>
  <c r="F5" i="7"/>
  <c r="G13" i="7"/>
  <c r="D5" i="7"/>
  <c r="E13" i="7"/>
  <c r="D13" i="7"/>
  <c r="F7" i="7"/>
  <c r="F114" i="8"/>
  <c r="AK24" i="2"/>
  <c r="F120" i="8"/>
  <c r="E7" i="7"/>
  <c r="E116" i="8"/>
  <c r="F11" i="7"/>
  <c r="K115" i="8"/>
  <c r="D15" i="7"/>
  <c r="AE11" i="2"/>
  <c r="D7" i="7"/>
  <c r="D124" i="8"/>
  <c r="AD26" i="2"/>
  <c r="AD10" i="2"/>
  <c r="AG19" i="2"/>
  <c r="AK9" i="2"/>
  <c r="F18" i="2"/>
  <c r="E70" i="8" s="1"/>
  <c r="K32" i="2"/>
  <c r="K4" i="2"/>
  <c r="AK20" i="2"/>
  <c r="K12" i="7"/>
  <c r="E8" i="7"/>
  <c r="K18" i="2"/>
  <c r="K16" i="2"/>
  <c r="E15" i="7"/>
  <c r="AI24" i="2"/>
  <c r="D11" i="7"/>
  <c r="AG10" i="2"/>
  <c r="AD14" i="2"/>
  <c r="AG18" i="2"/>
  <c r="D9" i="7"/>
  <c r="AG11" i="2"/>
  <c r="AJ23" i="2"/>
  <c r="G11" i="7"/>
  <c r="J13" i="7"/>
  <c r="J122" i="8"/>
  <c r="I12" i="7"/>
  <c r="I14" i="7"/>
  <c r="J16" i="2"/>
  <c r="J18" i="2"/>
  <c r="J32" i="2"/>
  <c r="I121" i="8"/>
  <c r="I123" i="8"/>
  <c r="I6" i="7"/>
  <c r="AI21" i="2"/>
  <c r="AD18" i="2"/>
  <c r="E18" i="2"/>
  <c r="P4" i="7" s="1"/>
  <c r="AH12" i="2"/>
  <c r="E11" i="7"/>
  <c r="P83" i="4"/>
  <c r="W5" i="2"/>
  <c r="AI6" i="2" s="1"/>
  <c r="E120" i="8"/>
  <c r="I32" i="2"/>
  <c r="I16" i="2"/>
  <c r="I4" i="2"/>
  <c r="I18" i="2"/>
  <c r="AE18" i="2"/>
  <c r="AK12" i="2"/>
  <c r="L18" i="2"/>
  <c r="L32" i="2"/>
  <c r="L16" i="2"/>
  <c r="H8" i="7"/>
  <c r="K8" i="7"/>
  <c r="AK10" i="2"/>
  <c r="K7" i="7"/>
  <c r="K116" i="8"/>
  <c r="E121" i="8"/>
  <c r="E12" i="7"/>
  <c r="AH19" i="2"/>
  <c r="H11" i="7"/>
  <c r="AJ11" i="2"/>
  <c r="H120" i="8"/>
  <c r="AE21" i="2"/>
  <c r="AJ10" i="2"/>
  <c r="J7" i="7"/>
  <c r="AK19" i="2"/>
  <c r="AK18" i="2"/>
  <c r="K11" i="7"/>
  <c r="J114" i="8"/>
  <c r="J5" i="7"/>
  <c r="AJ6" i="2"/>
  <c r="F117" i="8"/>
  <c r="AH23" i="2"/>
  <c r="H122" i="8"/>
  <c r="AF13" i="2"/>
  <c r="AF12" i="2"/>
  <c r="H13" i="7"/>
  <c r="B68" i="8"/>
  <c r="C68" i="8" s="1"/>
  <c r="B59" i="8"/>
  <c r="C59" i="8" s="1"/>
  <c r="B60" i="8"/>
  <c r="C60" i="8" s="1"/>
  <c r="I15" i="7"/>
  <c r="G8" i="7"/>
  <c r="I124" i="8"/>
  <c r="G117" i="8"/>
  <c r="AI26" i="2"/>
  <c r="AG12" i="2"/>
  <c r="E117" i="8"/>
  <c r="AE12" i="2"/>
  <c r="AD8" i="2"/>
  <c r="D6" i="7"/>
  <c r="D115" i="8"/>
  <c r="B61" i="8"/>
  <c r="C61" i="8" s="1"/>
  <c r="B62" i="8"/>
  <c r="C62" i="8" s="1"/>
  <c r="B63" i="8"/>
  <c r="C63" i="8" s="1"/>
  <c r="B65" i="8"/>
  <c r="C65" i="8" s="1"/>
  <c r="B58" i="8"/>
  <c r="C58" i="8" s="1"/>
  <c r="B67" i="8"/>
  <c r="C67" i="8" s="1"/>
  <c r="G179" i="4"/>
  <c r="F32" i="2"/>
  <c r="B66" i="8"/>
  <c r="C66" i="8" s="1"/>
  <c r="B64" i="8"/>
  <c r="C64" i="8" s="1"/>
  <c r="B83" i="8"/>
  <c r="C83" i="8" s="1"/>
  <c r="O19" i="7"/>
  <c r="N21" i="7"/>
  <c r="G120" i="4"/>
  <c r="J9" i="7"/>
  <c r="B77" i="8"/>
  <c r="C77" i="8" s="1"/>
  <c r="AB65" i="2"/>
  <c r="AC63" i="2"/>
  <c r="O4" i="7"/>
  <c r="N5" i="7"/>
  <c r="B76" i="8"/>
  <c r="C76" i="8" s="1"/>
  <c r="B75" i="8"/>
  <c r="C75" i="8" s="1"/>
  <c r="AJ18" i="2"/>
  <c r="D117" i="8"/>
  <c r="J118" i="8"/>
  <c r="AD21" i="2"/>
  <c r="G43" i="6"/>
  <c r="I13" i="7"/>
  <c r="E10" i="7"/>
  <c r="I122" i="8"/>
  <c r="P19" i="7"/>
  <c r="E119" i="8"/>
  <c r="AI23" i="2"/>
  <c r="D121" i="8"/>
  <c r="AK23" i="2"/>
  <c r="D12" i="7"/>
  <c r="AK22" i="2"/>
  <c r="K13" i="7"/>
  <c r="G119" i="8"/>
  <c r="AE8" i="2"/>
  <c r="AJ26" i="2"/>
  <c r="J15" i="7"/>
  <c r="J124" i="8"/>
  <c r="H9" i="7"/>
  <c r="H124" i="8"/>
  <c r="H118" i="8"/>
  <c r="AI11" i="2"/>
  <c r="I7" i="7"/>
  <c r="I116" i="8"/>
  <c r="E6" i="7"/>
  <c r="E115" i="8"/>
  <c r="D14" i="7"/>
  <c r="D123" i="8"/>
  <c r="AG16" i="2"/>
  <c r="H15" i="7"/>
  <c r="AG17" i="2"/>
  <c r="AH27" i="2"/>
  <c r="G64" i="6"/>
  <c r="J11" i="7"/>
  <c r="B64" i="6"/>
  <c r="Q43" i="6"/>
  <c r="I9" i="7"/>
  <c r="J120" i="8"/>
  <c r="AI15" i="2"/>
  <c r="AD12" i="2"/>
  <c r="L43" i="6"/>
  <c r="I118" i="8"/>
  <c r="D8" i="7"/>
  <c r="I120" i="8"/>
  <c r="AF24" i="2"/>
  <c r="AF25" i="2"/>
  <c r="F14" i="7"/>
  <c r="G115" i="8"/>
  <c r="H5" i="7"/>
  <c r="H114" i="8"/>
  <c r="AG8" i="2"/>
  <c r="K124" i="8"/>
  <c r="G12" i="7"/>
  <c r="AG9" i="2"/>
  <c r="AG21" i="2"/>
  <c r="G121" i="8"/>
  <c r="E14" i="7"/>
  <c r="AI18" i="2"/>
  <c r="E123" i="8"/>
  <c r="AF17" i="2"/>
  <c r="F10" i="7"/>
  <c r="F119" i="8"/>
  <c r="F121" i="8"/>
  <c r="I11" i="7"/>
  <c r="AH6" i="2"/>
  <c r="AK27" i="2"/>
  <c r="AK26" i="2"/>
  <c r="AE17" i="2"/>
  <c r="AF20" i="2"/>
  <c r="AE24" i="2"/>
  <c r="AF21" i="2"/>
  <c r="AD24" i="2"/>
  <c r="H7" i="7"/>
  <c r="AJ15" i="2"/>
  <c r="H116" i="8"/>
  <c r="AH10" i="2"/>
  <c r="D10" i="7"/>
  <c r="AD16" i="2"/>
  <c r="D119" i="8"/>
  <c r="AH14" i="2"/>
  <c r="C238" i="4" a="1"/>
  <c r="C238" i="4" s="1"/>
  <c r="D239" i="4"/>
  <c r="G123" i="4"/>
  <c r="H18" i="2"/>
  <c r="C237" i="4" a="1"/>
  <c r="C237" i="4" s="1"/>
  <c r="M4" i="10" s="1" a="1"/>
  <c r="M4" i="10" s="1"/>
  <c r="D124" i="4"/>
  <c r="D125" i="4" s="1"/>
  <c r="C125" i="4" s="1" a="1"/>
  <c r="C125" i="4" s="1"/>
  <c r="AC94" i="2"/>
  <c r="AB96" i="2"/>
  <c r="H236" i="4"/>
  <c r="G236" i="4"/>
  <c r="D4" i="10" a="1"/>
  <c r="D4" i="10" s="1"/>
  <c r="B9" i="7"/>
  <c r="C8" i="7"/>
  <c r="B5" i="10"/>
  <c r="C4" i="10"/>
  <c r="A85" i="8"/>
  <c r="B84" i="8"/>
  <c r="C84" i="8" s="1"/>
  <c r="B15" i="10"/>
  <c r="C14" i="10"/>
  <c r="E4" i="2"/>
  <c r="G62" i="4"/>
  <c r="C63" i="4" a="1"/>
  <c r="C63" i="4" s="1"/>
  <c r="L4" i="2" s="1"/>
  <c r="B82" i="8"/>
  <c r="C82" i="8" s="1"/>
  <c r="C180" i="4" a="1"/>
  <c r="C180" i="4" s="1"/>
  <c r="C122" i="4" a="1"/>
  <c r="C122" i="4" s="1"/>
  <c r="A16" i="10"/>
  <c r="AC33" i="2"/>
  <c r="AB35" i="2"/>
  <c r="C19" i="7"/>
  <c r="B20" i="7"/>
  <c r="AE93" i="2" a="1"/>
  <c r="AE92" i="2" a="1"/>
  <c r="AK64" i="2" a="1"/>
  <c r="AH64" i="2" a="1"/>
  <c r="AH93" i="2" a="1"/>
  <c r="AI93" i="2" a="1"/>
  <c r="AH33" i="2" a="1"/>
  <c r="AH92" i="2" a="1"/>
  <c r="AI64" i="2" a="1"/>
  <c r="AG64" i="2" a="1"/>
  <c r="AJ63" i="2" a="1"/>
  <c r="AJ33" i="2" a="1"/>
  <c r="AG63" i="2" a="1"/>
  <c r="AE63" i="2" a="1"/>
  <c r="AD64" i="2" a="1"/>
  <c r="AJ34" i="2" a="1"/>
  <c r="AD63" i="2" a="1"/>
  <c r="AK93" i="2" a="1"/>
  <c r="AD34" i="2" a="1"/>
  <c r="AK92" i="2" a="1"/>
  <c r="AJ93" i="2" a="1"/>
  <c r="AD92" i="2" a="1"/>
  <c r="AJ92" i="2" a="1"/>
  <c r="AD33" i="2" a="1"/>
  <c r="AK63" i="2" a="1"/>
  <c r="AE64" i="2" a="1"/>
  <c r="AH63" i="2" a="1"/>
  <c r="AK33" i="2" a="1"/>
  <c r="AI92" i="2" a="1"/>
  <c r="AH34" i="2" a="1"/>
  <c r="AJ64" i="2" a="1"/>
  <c r="AI63" i="2" a="1"/>
  <c r="AK34" i="2" a="1"/>
  <c r="AD93" i="2" a="1"/>
  <c r="B80" i="8" l="1"/>
  <c r="C80" i="8" s="1"/>
  <c r="E4" i="10" a="1"/>
  <c r="E4" i="10" s="1"/>
  <c r="F4" i="10" a="1"/>
  <c r="F4" i="10" s="1"/>
  <c r="B74" i="8"/>
  <c r="C74" i="8" s="1"/>
  <c r="B78" i="8"/>
  <c r="C78" i="8" s="1"/>
  <c r="F4" i="7"/>
  <c r="B73" i="8"/>
  <c r="C73" i="8" s="1"/>
  <c r="B71" i="8"/>
  <c r="C71" i="8" s="1"/>
  <c r="B72" i="8"/>
  <c r="C72" i="8" s="1"/>
  <c r="B70" i="8"/>
  <c r="C70" i="8" s="1"/>
  <c r="B79" i="8"/>
  <c r="C79" i="8" s="1"/>
  <c r="D182" i="4"/>
  <c r="N6" i="3"/>
  <c r="AD93" i="2"/>
  <c r="AD92" i="2"/>
  <c r="AB4" i="2"/>
  <c r="P5" i="2"/>
  <c r="Q4" i="2"/>
  <c r="D82" i="8"/>
  <c r="V63" i="4"/>
  <c r="T64" i="4"/>
  <c r="E3" i="3"/>
  <c r="U65" i="4"/>
  <c r="S66" i="4"/>
  <c r="C16" i="6"/>
  <c r="D16" i="6" s="1"/>
  <c r="AK6" i="2"/>
  <c r="K114" i="8"/>
  <c r="K5" i="7"/>
  <c r="K113" i="8"/>
  <c r="AF5" i="2"/>
  <c r="AF4" i="2"/>
  <c r="AK15" i="2"/>
  <c r="D113" i="8"/>
  <c r="K118" i="8"/>
  <c r="D4" i="7"/>
  <c r="K9" i="7"/>
  <c r="AD4" i="2"/>
  <c r="G9" i="7"/>
  <c r="G118" i="8"/>
  <c r="I114" i="8"/>
  <c r="AG14" i="2"/>
  <c r="AI7" i="2"/>
  <c r="AE14" i="2"/>
  <c r="E9" i="7"/>
  <c r="AE15" i="2"/>
  <c r="E118" i="8"/>
  <c r="AE6" i="2"/>
  <c r="AE7" i="2"/>
  <c r="E114" i="8"/>
  <c r="E5" i="7"/>
  <c r="J4" i="2"/>
  <c r="AG7" i="2"/>
  <c r="G5" i="7"/>
  <c r="G114" i="8"/>
  <c r="AG6" i="2"/>
  <c r="AK5" i="2"/>
  <c r="K4" i="7"/>
  <c r="G113" i="8"/>
  <c r="G4" i="7"/>
  <c r="AG4" i="2"/>
  <c r="J4" i="7"/>
  <c r="J113" i="8"/>
  <c r="AJ5" i="2"/>
  <c r="AJ4" i="2"/>
  <c r="E113" i="8"/>
  <c r="E4" i="7"/>
  <c r="I5" i="7"/>
  <c r="AI5" i="2"/>
  <c r="I113" i="8"/>
  <c r="AI4" i="2"/>
  <c r="I4" i="7"/>
  <c r="AE4" i="2"/>
  <c r="AH5" i="2"/>
  <c r="H113" i="8"/>
  <c r="H4" i="7"/>
  <c r="AJ34" i="2"/>
  <c r="AJ33" i="2"/>
  <c r="AJ92" i="2"/>
  <c r="AJ93" i="2"/>
  <c r="AE64" i="2"/>
  <c r="AE63" i="2"/>
  <c r="AJ63" i="2"/>
  <c r="AJ64" i="2"/>
  <c r="J58" i="8"/>
  <c r="J19" i="7"/>
  <c r="J82" i="8"/>
  <c r="V19" i="7"/>
  <c r="Q4" i="7"/>
  <c r="J70" i="8"/>
  <c r="V4" i="7"/>
  <c r="AD63" i="2"/>
  <c r="AD64" i="2"/>
  <c r="AI92" i="2"/>
  <c r="AI93" i="2"/>
  <c r="AI63" i="2"/>
  <c r="AI64" i="2"/>
  <c r="D70" i="8"/>
  <c r="U19" i="7"/>
  <c r="I82" i="8"/>
  <c r="I70" i="8"/>
  <c r="U4" i="7"/>
  <c r="AH34" i="2"/>
  <c r="AH33" i="2"/>
  <c r="AH92" i="2"/>
  <c r="AH93" i="2"/>
  <c r="AH64" i="2"/>
  <c r="AH63" i="2"/>
  <c r="AK63" i="2"/>
  <c r="AK64" i="2"/>
  <c r="AK92" i="2"/>
  <c r="AK93" i="2"/>
  <c r="AK34" i="2"/>
  <c r="AK33" i="2"/>
  <c r="H58" i="8"/>
  <c r="H19" i="7"/>
  <c r="H82" i="8"/>
  <c r="T19" i="7"/>
  <c r="H70" i="8"/>
  <c r="T4" i="7"/>
  <c r="K70" i="8"/>
  <c r="W4" i="7"/>
  <c r="K82" i="8"/>
  <c r="W19" i="7"/>
  <c r="K58" i="8"/>
  <c r="K19" i="7"/>
  <c r="AE93" i="2"/>
  <c r="AE92" i="2"/>
  <c r="L4" i="10" a="1"/>
  <c r="L4" i="10" s="1"/>
  <c r="E82" i="8"/>
  <c r="Q19" i="7"/>
  <c r="N22" i="7"/>
  <c r="O21" i="7"/>
  <c r="M16" i="3"/>
  <c r="L17" i="3" s="1"/>
  <c r="M17" i="3" s="1"/>
  <c r="G4" i="10" a="1"/>
  <c r="G4" i="10" s="1"/>
  <c r="AC65" i="2"/>
  <c r="AB67" i="2"/>
  <c r="O5" i="7"/>
  <c r="N6" i="7"/>
  <c r="L64" i="6"/>
  <c r="Q64" i="6"/>
  <c r="B85" i="6"/>
  <c r="G85" i="6"/>
  <c r="AD33" i="2"/>
  <c r="AD34" i="2"/>
  <c r="AG63" i="2"/>
  <c r="AG64" i="2"/>
  <c r="A86" i="8"/>
  <c r="B85" i="8"/>
  <c r="C85" i="8" s="1"/>
  <c r="AC96" i="2"/>
  <c r="AB98" i="2"/>
  <c r="C182" i="4" a="1"/>
  <c r="C182" i="4" s="1"/>
  <c r="G125" i="4"/>
  <c r="C64" i="4" a="1"/>
  <c r="C64" i="4" s="1"/>
  <c r="C124" i="4" a="1"/>
  <c r="C124" i="4" s="1"/>
  <c r="J19" i="2" s="1"/>
  <c r="D126" i="4"/>
  <c r="C126" i="4" s="1" a="1"/>
  <c r="C126" i="4" s="1"/>
  <c r="G181" i="4"/>
  <c r="H32" i="2"/>
  <c r="G122" i="4"/>
  <c r="G18" i="2"/>
  <c r="G180" i="4"/>
  <c r="G32" i="2"/>
  <c r="D58" i="8"/>
  <c r="D19" i="7"/>
  <c r="S4" i="7"/>
  <c r="G70" i="8"/>
  <c r="D240" i="4"/>
  <c r="C239" i="4" a="1"/>
  <c r="C239" i="4" s="1"/>
  <c r="B16" i="10"/>
  <c r="C15" i="10"/>
  <c r="D65" i="4"/>
  <c r="D66" i="4" s="1"/>
  <c r="C66" i="4" s="1" a="1"/>
  <c r="C66" i="4" s="1"/>
  <c r="B6" i="10"/>
  <c r="C5" i="10"/>
  <c r="A7" i="10"/>
  <c r="G63" i="4"/>
  <c r="F4" i="2"/>
  <c r="H237" i="4"/>
  <c r="G237" i="4"/>
  <c r="D183" i="4"/>
  <c r="A17" i="10"/>
  <c r="B10" i="7"/>
  <c r="C9" i="7"/>
  <c r="H238" i="4"/>
  <c r="G238" i="4"/>
  <c r="C20" i="7"/>
  <c r="B21" i="7"/>
  <c r="AB37" i="2"/>
  <c r="AC35" i="2"/>
  <c r="AG93" i="2" a="1"/>
  <c r="AE33" i="2" a="1"/>
  <c r="AG92" i="2" a="1"/>
  <c r="AF63" i="2" a="1"/>
  <c r="AF64" i="2" a="1"/>
  <c r="AI66" i="2" a="1"/>
  <c r="AF92" i="2" a="1"/>
  <c r="AF93" i="2" a="1"/>
  <c r="AI34" i="2" a="1"/>
  <c r="AI33" i="2" a="1"/>
  <c r="AI65" i="2" a="1"/>
  <c r="AE34" i="2" a="1"/>
  <c r="F3" i="3" l="1"/>
  <c r="V64" i="4"/>
  <c r="T65" i="4"/>
  <c r="Q5" i="2"/>
  <c r="P6" i="2"/>
  <c r="AB6" i="2"/>
  <c r="AC4" i="2"/>
  <c r="G3" i="3"/>
  <c r="Q6" i="3" s="1"/>
  <c r="E100" i="8"/>
  <c r="O6" i="3"/>
  <c r="C142" i="6"/>
  <c r="D142" i="6" s="1"/>
  <c r="U66" i="4"/>
  <c r="S67" i="4"/>
  <c r="AI34" i="2"/>
  <c r="AI33" i="2"/>
  <c r="I19" i="7"/>
  <c r="I58" i="8"/>
  <c r="G33" i="2"/>
  <c r="G5" i="2"/>
  <c r="G19" i="2"/>
  <c r="E19" i="2"/>
  <c r="H19" i="2"/>
  <c r="N23" i="7"/>
  <c r="O22" i="7"/>
  <c r="N7" i="7"/>
  <c r="O6" i="7"/>
  <c r="D127" i="4"/>
  <c r="AC67" i="2"/>
  <c r="AB69" i="2"/>
  <c r="G106" i="6"/>
  <c r="Q85" i="6"/>
  <c r="B106" i="6"/>
  <c r="L85" i="6"/>
  <c r="AF93" i="2"/>
  <c r="AF92" i="2"/>
  <c r="AI66" i="2"/>
  <c r="AI65" i="2"/>
  <c r="AF64" i="2"/>
  <c r="AF63" i="2"/>
  <c r="AE33" i="2"/>
  <c r="AE34" i="2"/>
  <c r="AG93" i="2"/>
  <c r="AG92" i="2"/>
  <c r="B17" i="10"/>
  <c r="C16" i="10"/>
  <c r="F82" i="8"/>
  <c r="R19" i="7"/>
  <c r="A8" i="10"/>
  <c r="G66" i="4"/>
  <c r="I5" i="2"/>
  <c r="U5" i="7"/>
  <c r="I71" i="8"/>
  <c r="A87" i="8"/>
  <c r="B86" i="8"/>
  <c r="C86" i="8" s="1"/>
  <c r="B11" i="7"/>
  <c r="C10" i="7"/>
  <c r="C240" i="4" a="1"/>
  <c r="C240" i="4" s="1"/>
  <c r="H4" i="10" s="1" a="1"/>
  <c r="H4" i="10" s="1"/>
  <c r="D241" i="4"/>
  <c r="D242" i="4" s="1"/>
  <c r="C242" i="4" s="1" a="1"/>
  <c r="C242" i="4" s="1"/>
  <c r="F70" i="8"/>
  <c r="R4" i="7"/>
  <c r="C183" i="4" a="1"/>
  <c r="C183" i="4" s="1"/>
  <c r="H33" i="2" s="1"/>
  <c r="G124" i="4"/>
  <c r="I19" i="2"/>
  <c r="G64" i="4"/>
  <c r="G4" i="2"/>
  <c r="E58" i="8"/>
  <c r="E19" i="7"/>
  <c r="G182" i="4"/>
  <c r="I33" i="2"/>
  <c r="G126" i="4"/>
  <c r="K19" i="2"/>
  <c r="AB100" i="2"/>
  <c r="AC98" i="2"/>
  <c r="B7" i="10"/>
  <c r="C6" i="10"/>
  <c r="A18" i="10"/>
  <c r="C65" i="4" a="1"/>
  <c r="C65" i="4" s="1"/>
  <c r="D67" i="4"/>
  <c r="D184" i="4"/>
  <c r="C184" i="4" s="1" a="1"/>
  <c r="C184" i="4" s="1"/>
  <c r="E33" i="2" s="1"/>
  <c r="H239" i="4"/>
  <c r="G239" i="4"/>
  <c r="N4" i="10" a="1"/>
  <c r="N4" i="10" s="1"/>
  <c r="O4" i="10" a="1"/>
  <c r="O4" i="10" s="1"/>
  <c r="G82" i="8"/>
  <c r="S19" i="7"/>
  <c r="AB39" i="2"/>
  <c r="AC37" i="2"/>
  <c r="B22" i="7"/>
  <c r="C21" i="7"/>
  <c r="AD66" i="2" a="1"/>
  <c r="AH66" i="2" a="1"/>
  <c r="AG66" i="2" a="1"/>
  <c r="AF34" i="2" a="1"/>
  <c r="AH94" i="2" a="1"/>
  <c r="AG65" i="2" a="1"/>
  <c r="AH35" i="2" a="1"/>
  <c r="AH95" i="2" a="1"/>
  <c r="AF94" i="2" a="1"/>
  <c r="AF66" i="2" a="1"/>
  <c r="AF95" i="2" a="1"/>
  <c r="AJ66" i="2" a="1"/>
  <c r="AH65" i="2" a="1"/>
  <c r="AD95" i="2" a="1"/>
  <c r="AF33" i="2" a="1"/>
  <c r="AD65" i="2" a="1"/>
  <c r="AF65" i="2" a="1"/>
  <c r="AH36" i="2" a="1"/>
  <c r="AF35" i="2" a="1"/>
  <c r="AG94" i="2" a="1"/>
  <c r="AG95" i="2" a="1"/>
  <c r="AD94" i="2" a="1"/>
  <c r="AF36" i="2" a="1"/>
  <c r="AJ65" i="2" a="1"/>
  <c r="G100" i="8" l="1"/>
  <c r="AC6" i="2"/>
  <c r="AB8" i="2"/>
  <c r="P7" i="2"/>
  <c r="Q6" i="2"/>
  <c r="V65" i="4"/>
  <c r="T66" i="4"/>
  <c r="P6" i="3"/>
  <c r="F100" i="8"/>
  <c r="U67" i="4"/>
  <c r="S68" i="4"/>
  <c r="H100" i="6"/>
  <c r="I100" i="6" s="1"/>
  <c r="AF36" i="2"/>
  <c r="AF35" i="2"/>
  <c r="AG65" i="2"/>
  <c r="AG66" i="2"/>
  <c r="AD94" i="2"/>
  <c r="AD95" i="2"/>
  <c r="AD66" i="2"/>
  <c r="AD65" i="2"/>
  <c r="AG95" i="2"/>
  <c r="AG94" i="2"/>
  <c r="AF65" i="2"/>
  <c r="AF66" i="2"/>
  <c r="AF94" i="2"/>
  <c r="AF95" i="2"/>
  <c r="F59" i="8"/>
  <c r="F20" i="7"/>
  <c r="G71" i="8"/>
  <c r="S5" i="7"/>
  <c r="P20" i="7"/>
  <c r="D83" i="8"/>
  <c r="P5" i="7"/>
  <c r="D71" i="8"/>
  <c r="S20" i="7"/>
  <c r="G83" i="8"/>
  <c r="F71" i="8"/>
  <c r="R5" i="7"/>
  <c r="F83" i="8"/>
  <c r="R20" i="7"/>
  <c r="N24" i="7"/>
  <c r="O23" i="7"/>
  <c r="AC69" i="2"/>
  <c r="AB71" i="2"/>
  <c r="C127" i="4" a="1"/>
  <c r="C127" i="4" s="1"/>
  <c r="F19" i="2" s="1"/>
  <c r="E71" i="8" s="1"/>
  <c r="D128" i="4"/>
  <c r="N8" i="7"/>
  <c r="O7" i="7"/>
  <c r="L106" i="6"/>
  <c r="B127" i="6"/>
  <c r="Q106" i="6"/>
  <c r="G127" i="6"/>
  <c r="I4" i="10" a="1"/>
  <c r="I4" i="10" s="1"/>
  <c r="AH94" i="2"/>
  <c r="AH95" i="2"/>
  <c r="AH36" i="2"/>
  <c r="AH35" i="2"/>
  <c r="AJ66" i="2"/>
  <c r="AJ65" i="2"/>
  <c r="AF33" i="2"/>
  <c r="AF34" i="2"/>
  <c r="AH66" i="2"/>
  <c r="AH65" i="2"/>
  <c r="B8" i="10"/>
  <c r="C7" i="10"/>
  <c r="D243" i="4"/>
  <c r="A9" i="10"/>
  <c r="AC100" i="2"/>
  <c r="AB102" i="2"/>
  <c r="H83" i="8"/>
  <c r="T20" i="7"/>
  <c r="H242" i="4"/>
  <c r="G242" i="4"/>
  <c r="D185" i="4"/>
  <c r="J4" i="10" a="1"/>
  <c r="J4" i="10" s="1"/>
  <c r="C11" i="7"/>
  <c r="B12" i="7"/>
  <c r="H59" i="8"/>
  <c r="H20" i="7"/>
  <c r="B18" i="10"/>
  <c r="C18" i="10" s="1"/>
  <c r="C17" i="10"/>
  <c r="J71" i="8"/>
  <c r="V5" i="7"/>
  <c r="C67" i="4" a="1"/>
  <c r="C67" i="4" s="1"/>
  <c r="H4" i="2"/>
  <c r="G65" i="4"/>
  <c r="K4" i="10" a="1"/>
  <c r="K4" i="10" s="1"/>
  <c r="A88" i="8"/>
  <c r="B87" i="8"/>
  <c r="C87" i="8" s="1"/>
  <c r="G183" i="4"/>
  <c r="J33" i="2"/>
  <c r="D68" i="4"/>
  <c r="C241" i="4" a="1"/>
  <c r="C241" i="4" s="1"/>
  <c r="Q4" i="10" s="1" a="1"/>
  <c r="Q4" i="10" s="1"/>
  <c r="G184" i="4"/>
  <c r="K33" i="2"/>
  <c r="F58" i="8"/>
  <c r="F19" i="7"/>
  <c r="T5" i="7"/>
  <c r="H71" i="8"/>
  <c r="G240" i="4"/>
  <c r="H240" i="4"/>
  <c r="D186" i="4"/>
  <c r="C186" i="4" s="1" a="1"/>
  <c r="C186" i="4" s="1"/>
  <c r="B23" i="7"/>
  <c r="C22" i="7"/>
  <c r="AB41" i="2"/>
  <c r="AC39" i="2"/>
  <c r="AI94" i="2" a="1"/>
  <c r="AG33" i="2" a="1"/>
  <c r="AJ95" i="2" a="1"/>
  <c r="AI95" i="2" a="1"/>
  <c r="AJ94" i="2" a="1"/>
  <c r="AE65" i="2" a="1"/>
  <c r="AE66" i="2" a="1"/>
  <c r="AG34" i="2" a="1"/>
  <c r="T67" i="4" l="1"/>
  <c r="H3" i="3"/>
  <c r="V66" i="4"/>
  <c r="P8" i="2"/>
  <c r="Q7" i="2"/>
  <c r="AC8" i="2"/>
  <c r="AB10" i="2"/>
  <c r="H226" i="6"/>
  <c r="I226" i="6" s="1"/>
  <c r="U68" i="4"/>
  <c r="S69" i="4"/>
  <c r="AE65" i="2"/>
  <c r="AE66" i="2"/>
  <c r="Q5" i="7"/>
  <c r="H5" i="2"/>
  <c r="K34" i="2"/>
  <c r="I34" i="2"/>
  <c r="N25" i="7"/>
  <c r="O24" i="7"/>
  <c r="O8" i="7"/>
  <c r="N9" i="7"/>
  <c r="D187" i="4"/>
  <c r="C128" i="4" a="1"/>
  <c r="C128" i="4" s="1"/>
  <c r="D129" i="4"/>
  <c r="AB73" i="2"/>
  <c r="AC71" i="2"/>
  <c r="G127" i="4"/>
  <c r="L19" i="2"/>
  <c r="G148" i="6"/>
  <c r="B148" i="6"/>
  <c r="L127" i="6"/>
  <c r="AG34" i="2"/>
  <c r="AG33" i="2"/>
  <c r="AJ94" i="2"/>
  <c r="AJ95" i="2"/>
  <c r="AI95" i="2"/>
  <c r="AI94" i="2"/>
  <c r="A89" i="8"/>
  <c r="B88" i="8"/>
  <c r="C88" i="8" s="1"/>
  <c r="G19" i="7"/>
  <c r="G58" i="8"/>
  <c r="G67" i="4"/>
  <c r="J5" i="2"/>
  <c r="C8" i="10"/>
  <c r="B9" i="10"/>
  <c r="C9" i="10" s="1"/>
  <c r="D69" i="4"/>
  <c r="D70" i="4" s="1"/>
  <c r="C70" i="4" s="1" a="1"/>
  <c r="C70" i="4" s="1"/>
  <c r="C68" i="4" a="1"/>
  <c r="C68" i="4" s="1"/>
  <c r="E5" i="2" s="1"/>
  <c r="C243" i="4" a="1"/>
  <c r="C243" i="4" s="1"/>
  <c r="R4" i="10" s="1" a="1"/>
  <c r="R4" i="10" s="1"/>
  <c r="D244" i="4"/>
  <c r="H241" i="4"/>
  <c r="G241" i="4"/>
  <c r="M58" i="6" s="1"/>
  <c r="N58" i="6" s="1"/>
  <c r="C185" i="4" a="1"/>
  <c r="C185" i="4" s="1"/>
  <c r="F33" i="2" s="1"/>
  <c r="J83" i="8"/>
  <c r="V20" i="7"/>
  <c r="G186" i="4"/>
  <c r="E34" i="2"/>
  <c r="C12" i="7"/>
  <c r="B13" i="7"/>
  <c r="P4" i="10" a="1"/>
  <c r="P4" i="10" s="1"/>
  <c r="I83" i="8"/>
  <c r="U20" i="7"/>
  <c r="AC102" i="2"/>
  <c r="AB104" i="2"/>
  <c r="AB43" i="2"/>
  <c r="AC41" i="2"/>
  <c r="C23" i="7"/>
  <c r="B24" i="7"/>
  <c r="AI35" i="2" a="1"/>
  <c r="AD35" i="2" a="1"/>
  <c r="AD36" i="2" a="1"/>
  <c r="AE94" i="2" a="1"/>
  <c r="AI36" i="2" a="1"/>
  <c r="AK66" i="2" a="1"/>
  <c r="AG36" i="2" a="1"/>
  <c r="AH97" i="2" a="1"/>
  <c r="AG35" i="2" a="1"/>
  <c r="AJ97" i="2" a="1"/>
  <c r="AD96" i="2" a="1"/>
  <c r="AE95" i="2" a="1"/>
  <c r="AJ96" i="2" a="1"/>
  <c r="AK65" i="2" a="1"/>
  <c r="AD97" i="2" a="1"/>
  <c r="AH96" i="2" a="1"/>
  <c r="AB12" i="2" l="1"/>
  <c r="AC10" i="2"/>
  <c r="Q8" i="2"/>
  <c r="P9" i="2"/>
  <c r="H100" i="8"/>
  <c r="R6" i="3"/>
  <c r="I3" i="3"/>
  <c r="T68" i="4"/>
  <c r="V67" i="4"/>
  <c r="M184" i="6"/>
  <c r="U69" i="4"/>
  <c r="S70" i="4"/>
  <c r="AE94" i="2"/>
  <c r="AE95" i="2"/>
  <c r="E83" i="8"/>
  <c r="Q20" i="7"/>
  <c r="AD35" i="2"/>
  <c r="AD36" i="2"/>
  <c r="D59" i="8"/>
  <c r="D20" i="7"/>
  <c r="AG36" i="2"/>
  <c r="AG35" i="2"/>
  <c r="G20" i="7"/>
  <c r="G59" i="8"/>
  <c r="AJ97" i="2"/>
  <c r="AJ96" i="2"/>
  <c r="AH97" i="2"/>
  <c r="AH96" i="2"/>
  <c r="V21" i="7"/>
  <c r="J84" i="8"/>
  <c r="K6" i="2"/>
  <c r="I6" i="2"/>
  <c r="H84" i="8"/>
  <c r="T21" i="7"/>
  <c r="K20" i="2"/>
  <c r="I20" i="2"/>
  <c r="N26" i="7"/>
  <c r="O25" i="7"/>
  <c r="AK66" i="2"/>
  <c r="AK65" i="2"/>
  <c r="AC73" i="2"/>
  <c r="AB75" i="2"/>
  <c r="O9" i="7"/>
  <c r="N10" i="7"/>
  <c r="C129" i="4" a="1"/>
  <c r="C129" i="4" s="1"/>
  <c r="J20" i="2" s="1"/>
  <c r="D130" i="4"/>
  <c r="D131" i="4" s="1"/>
  <c r="K71" i="8"/>
  <c r="W5" i="7"/>
  <c r="E20" i="2"/>
  <c r="G128" i="4"/>
  <c r="C187" i="4" a="1"/>
  <c r="C187" i="4" s="1"/>
  <c r="D188" i="4"/>
  <c r="K100" i="8"/>
  <c r="B169" i="6"/>
  <c r="L148" i="6"/>
  <c r="G169" i="6"/>
  <c r="AD97" i="2"/>
  <c r="AD96" i="2"/>
  <c r="AI35" i="2"/>
  <c r="AI36" i="2"/>
  <c r="D84" i="8"/>
  <c r="P21" i="7"/>
  <c r="C244" i="4" a="1"/>
  <c r="C244" i="4" s="1"/>
  <c r="D14" i="10" s="1" a="1"/>
  <c r="D14" i="10" s="1"/>
  <c r="D245" i="4"/>
  <c r="D71" i="4"/>
  <c r="C69" i="4" a="1"/>
  <c r="C69" i="4" s="1"/>
  <c r="F5" i="2" s="1"/>
  <c r="E59" i="8" s="1"/>
  <c r="G185" i="4"/>
  <c r="L33" i="2"/>
  <c r="A90" i="8"/>
  <c r="B89" i="8"/>
  <c r="C89" i="8" s="1"/>
  <c r="G70" i="4"/>
  <c r="E6" i="2"/>
  <c r="G68" i="4"/>
  <c r="K5" i="2"/>
  <c r="I20" i="7"/>
  <c r="I59" i="8"/>
  <c r="AB106" i="2"/>
  <c r="AC104" i="2"/>
  <c r="B14" i="7"/>
  <c r="C13" i="7"/>
  <c r="H243" i="4"/>
  <c r="G243" i="4"/>
  <c r="S4" i="10" a="1"/>
  <c r="S4" i="10" s="1"/>
  <c r="C24" i="7"/>
  <c r="B25" i="7"/>
  <c r="AC43" i="2"/>
  <c r="AB45" i="2"/>
  <c r="AD38" i="2" a="1"/>
  <c r="AH67" i="2" a="1"/>
  <c r="AI67" i="2" a="1"/>
  <c r="AD37" i="2" a="1"/>
  <c r="AJ36" i="2" a="1"/>
  <c r="AE35" i="2" a="1"/>
  <c r="AH38" i="2" a="1"/>
  <c r="AK95" i="2" a="1"/>
  <c r="AD68" i="2" a="1"/>
  <c r="AJ37" i="2" a="1"/>
  <c r="AJ38" i="2" a="1"/>
  <c r="AJ68" i="2" a="1"/>
  <c r="AH37" i="2" a="1"/>
  <c r="AE36" i="2" a="1"/>
  <c r="AH68" i="2" a="1"/>
  <c r="AJ67" i="2" a="1"/>
  <c r="AJ35" i="2" a="1"/>
  <c r="AK94" i="2" a="1"/>
  <c r="AD67" i="2" a="1"/>
  <c r="AI68" i="2" a="1"/>
  <c r="I100" i="8" l="1"/>
  <c r="S6" i="3"/>
  <c r="V68" i="4"/>
  <c r="T69" i="4"/>
  <c r="J3" i="3"/>
  <c r="P10" i="2"/>
  <c r="Q9" i="2"/>
  <c r="AC12" i="2"/>
  <c r="AB14" i="2"/>
  <c r="U70" i="4"/>
  <c r="S71" i="4"/>
  <c r="R16" i="6"/>
  <c r="AE35" i="2"/>
  <c r="AE36" i="2"/>
  <c r="E20" i="7"/>
  <c r="L20" i="2"/>
  <c r="W6" i="7" s="1"/>
  <c r="J34" i="2"/>
  <c r="L34" i="2"/>
  <c r="AJ38" i="2"/>
  <c r="AJ37" i="2"/>
  <c r="AH67" i="2"/>
  <c r="AH68" i="2"/>
  <c r="AI68" i="2"/>
  <c r="AI67" i="2"/>
  <c r="AJ68" i="2"/>
  <c r="AJ67" i="2"/>
  <c r="AH38" i="2"/>
  <c r="AH37" i="2"/>
  <c r="J21" i="7"/>
  <c r="J60" i="8"/>
  <c r="H72" i="8"/>
  <c r="T6" i="7"/>
  <c r="U6" i="7"/>
  <c r="I72" i="8"/>
  <c r="J72" i="8"/>
  <c r="V6" i="7"/>
  <c r="H60" i="8"/>
  <c r="H21" i="7"/>
  <c r="E14" i="10" a="1"/>
  <c r="E14" i="10" s="1"/>
  <c r="N27" i="7"/>
  <c r="O26" i="7"/>
  <c r="AD68" i="2"/>
  <c r="AD67" i="2"/>
  <c r="C131" i="4" a="1"/>
  <c r="C131" i="4" s="1"/>
  <c r="G129" i="4"/>
  <c r="F20" i="2"/>
  <c r="C188" i="4" a="1"/>
  <c r="C188" i="4" s="1"/>
  <c r="D189" i="4"/>
  <c r="D4" i="3"/>
  <c r="G187" i="4"/>
  <c r="F34" i="2"/>
  <c r="P6" i="7"/>
  <c r="D72" i="8"/>
  <c r="N11" i="7"/>
  <c r="O10" i="7"/>
  <c r="C130" i="4" a="1"/>
  <c r="C130" i="4" s="1"/>
  <c r="D132" i="4"/>
  <c r="C132" i="4" s="1" a="1"/>
  <c r="C132" i="4" s="1"/>
  <c r="AB77" i="2"/>
  <c r="AC75" i="2"/>
  <c r="G190" i="6"/>
  <c r="B190" i="6"/>
  <c r="L169" i="6"/>
  <c r="AJ36" i="2"/>
  <c r="AJ35" i="2"/>
  <c r="AK95" i="2"/>
  <c r="AK94" i="2"/>
  <c r="AD38" i="2"/>
  <c r="AD37" i="2"/>
  <c r="J59" i="8"/>
  <c r="J20" i="7"/>
  <c r="C71" i="4" a="1"/>
  <c r="C71" i="4" s="1"/>
  <c r="D72" i="4"/>
  <c r="W20" i="7"/>
  <c r="K83" i="8"/>
  <c r="AB108" i="2"/>
  <c r="AC106" i="2"/>
  <c r="A91" i="8"/>
  <c r="B90" i="8"/>
  <c r="C90" i="8" s="1"/>
  <c r="C245" i="4" a="1"/>
  <c r="C245" i="4" s="1"/>
  <c r="L14" i="10" s="1" a="1"/>
  <c r="L14" i="10" s="1"/>
  <c r="C14" i="7"/>
  <c r="B15" i="7"/>
  <c r="C15" i="7" s="1"/>
  <c r="D246" i="4"/>
  <c r="D60" i="8"/>
  <c r="D21" i="7"/>
  <c r="G69" i="4"/>
  <c r="L5" i="2"/>
  <c r="H244" i="4"/>
  <c r="G244" i="4"/>
  <c r="AB47" i="2"/>
  <c r="AC45" i="2"/>
  <c r="B26" i="7"/>
  <c r="C25" i="7"/>
  <c r="AE97" i="2" a="1"/>
  <c r="AK96" i="2" a="1"/>
  <c r="AK36" i="2" a="1"/>
  <c r="AE67" i="2" a="1"/>
  <c r="AK97" i="2" a="1"/>
  <c r="AI97" i="2" a="1"/>
  <c r="AK35" i="2" a="1"/>
  <c r="AK68" i="2" a="1"/>
  <c r="AE96" i="2" a="1"/>
  <c r="AE68" i="2" a="1"/>
  <c r="AI96" i="2" a="1"/>
  <c r="AK67" i="2" a="1"/>
  <c r="Q10" i="2" l="1"/>
  <c r="P11" i="2"/>
  <c r="T6" i="3"/>
  <c r="J100" i="8"/>
  <c r="T70" i="4"/>
  <c r="V69" i="4"/>
  <c r="AB16" i="2"/>
  <c r="AC14" i="2"/>
  <c r="U71" i="4"/>
  <c r="S72" i="4"/>
  <c r="C37" i="6"/>
  <c r="D37" i="6" s="1"/>
  <c r="K72" i="8"/>
  <c r="AK96" i="2"/>
  <c r="AK97" i="2"/>
  <c r="AI96" i="2"/>
  <c r="AI97" i="2"/>
  <c r="AK67" i="2"/>
  <c r="AK68" i="2"/>
  <c r="J6" i="2"/>
  <c r="L6" i="2"/>
  <c r="W21" i="7"/>
  <c r="K84" i="8"/>
  <c r="I84" i="8"/>
  <c r="U21" i="7"/>
  <c r="G21" i="2"/>
  <c r="D133" i="4"/>
  <c r="O27" i="7"/>
  <c r="N28" i="7"/>
  <c r="AE67" i="2"/>
  <c r="AE68" i="2"/>
  <c r="AE97" i="2"/>
  <c r="AE96" i="2"/>
  <c r="N7" i="3"/>
  <c r="D101" i="8"/>
  <c r="AB79" i="2"/>
  <c r="AC77" i="2"/>
  <c r="E4" i="3"/>
  <c r="I21" i="2"/>
  <c r="G132" i="4"/>
  <c r="Q6" i="7"/>
  <c r="E72" i="8"/>
  <c r="N12" i="7"/>
  <c r="O11" i="7"/>
  <c r="H20" i="2"/>
  <c r="G131" i="4"/>
  <c r="G130" i="4"/>
  <c r="G20" i="2"/>
  <c r="E84" i="8"/>
  <c r="Q21" i="7"/>
  <c r="C189" i="4" a="1"/>
  <c r="C189" i="4" s="1"/>
  <c r="D190" i="4"/>
  <c r="G34" i="2"/>
  <c r="G188" i="4"/>
  <c r="G211" i="6"/>
  <c r="L190" i="6"/>
  <c r="B211" i="6"/>
  <c r="AK35" i="2"/>
  <c r="AK36" i="2"/>
  <c r="K59" i="8"/>
  <c r="K20" i="7"/>
  <c r="C246" i="4" a="1"/>
  <c r="C246" i="4" s="1"/>
  <c r="D247" i="4"/>
  <c r="A92" i="8"/>
  <c r="B91" i="8"/>
  <c r="C91" i="8" s="1"/>
  <c r="AB110" i="2"/>
  <c r="AC108" i="2"/>
  <c r="C72" i="4" a="1"/>
  <c r="C72" i="4" s="1"/>
  <c r="D73" i="4"/>
  <c r="H245" i="4"/>
  <c r="G245" i="4"/>
  <c r="G71" i="4"/>
  <c r="F6" i="2"/>
  <c r="B27" i="7"/>
  <c r="C26" i="7"/>
  <c r="AB49" i="2"/>
  <c r="AC47" i="2"/>
  <c r="AI38" i="2" a="1"/>
  <c r="AE37" i="2" a="1"/>
  <c r="AG68" i="2" a="1"/>
  <c r="AF96" i="2" a="1"/>
  <c r="AH69" i="2" a="1"/>
  <c r="AG67" i="2" a="1"/>
  <c r="AF97" i="2" a="1"/>
  <c r="AK38" i="2" a="1"/>
  <c r="AF67" i="2" a="1"/>
  <c r="AK37" i="2" a="1"/>
  <c r="AF70" i="2" a="1"/>
  <c r="AE38" i="2" a="1"/>
  <c r="AF69" i="2" a="1"/>
  <c r="AH70" i="2" a="1"/>
  <c r="AF68" i="2" a="1"/>
  <c r="AI37" i="2" a="1"/>
  <c r="AC16" i="2" l="1"/>
  <c r="AB18" i="2"/>
  <c r="V70" i="4"/>
  <c r="T71" i="4"/>
  <c r="P12" i="2"/>
  <c r="Q11" i="2"/>
  <c r="U72" i="4"/>
  <c r="S73" i="4"/>
  <c r="AK37" i="2"/>
  <c r="AK38" i="2"/>
  <c r="AI38" i="2"/>
  <c r="AI37" i="2"/>
  <c r="K60" i="8"/>
  <c r="K21" i="7"/>
  <c r="I60" i="8"/>
  <c r="I21" i="7"/>
  <c r="AF70" i="2"/>
  <c r="AF69" i="2"/>
  <c r="F73" i="8"/>
  <c r="R7" i="7"/>
  <c r="N29" i="7"/>
  <c r="O28" i="7"/>
  <c r="C133" i="4" a="1"/>
  <c r="C133" i="4" s="1"/>
  <c r="D134" i="4"/>
  <c r="AH70" i="2"/>
  <c r="AH69" i="2"/>
  <c r="AG68" i="2"/>
  <c r="AG67" i="2"/>
  <c r="AF96" i="2"/>
  <c r="AF97" i="2"/>
  <c r="AF67" i="2"/>
  <c r="AF68" i="2"/>
  <c r="T7" i="7"/>
  <c r="H73" i="8"/>
  <c r="O12" i="7"/>
  <c r="N13" i="7"/>
  <c r="C190" i="4" a="1"/>
  <c r="C190" i="4" s="1"/>
  <c r="D191" i="4"/>
  <c r="C191" i="4" s="1" a="1"/>
  <c r="C191" i="4" s="1"/>
  <c r="G189" i="4"/>
  <c r="H34" i="2"/>
  <c r="O7" i="3"/>
  <c r="E101" i="8"/>
  <c r="S6" i="7"/>
  <c r="G72" i="8"/>
  <c r="F84" i="8"/>
  <c r="R21" i="7"/>
  <c r="AB81" i="2"/>
  <c r="AC79" i="2"/>
  <c r="R6" i="7"/>
  <c r="F72" i="8"/>
  <c r="F4" i="3"/>
  <c r="B232" i="6"/>
  <c r="L211" i="6"/>
  <c r="G232" i="6"/>
  <c r="AE37" i="2"/>
  <c r="AE38" i="2"/>
  <c r="AC110" i="2"/>
  <c r="AB112" i="2"/>
  <c r="C247" i="4" a="1"/>
  <c r="C247" i="4" s="1"/>
  <c r="D248" i="4"/>
  <c r="E21" i="7"/>
  <c r="E60" i="8"/>
  <c r="C73" i="4" a="1"/>
  <c r="C73" i="4" s="1"/>
  <c r="D74" i="4"/>
  <c r="A93" i="8"/>
  <c r="B93" i="8" s="1"/>
  <c r="C93" i="8" s="1"/>
  <c r="B92" i="8"/>
  <c r="C92" i="8" s="1"/>
  <c r="G72" i="4"/>
  <c r="G6" i="2"/>
  <c r="H246" i="4"/>
  <c r="G246" i="4"/>
  <c r="C27" i="7"/>
  <c r="B28" i="7"/>
  <c r="AC49" i="2"/>
  <c r="AB51" i="2"/>
  <c r="AF37" i="2" a="1"/>
  <c r="AG97" i="2" a="1"/>
  <c r="AF38" i="2" a="1"/>
  <c r="AG96" i="2" a="1"/>
  <c r="Q12" i="2" l="1"/>
  <c r="P13" i="2"/>
  <c r="T72" i="4"/>
  <c r="V71" i="4"/>
  <c r="AB20" i="2"/>
  <c r="AC18" i="2"/>
  <c r="U73" i="4"/>
  <c r="S74" i="4"/>
  <c r="H21" i="2"/>
  <c r="G35" i="2"/>
  <c r="H35" i="2"/>
  <c r="D192" i="4"/>
  <c r="C134" i="4" a="1"/>
  <c r="C134" i="4" s="1"/>
  <c r="E21" i="2" s="1"/>
  <c r="D135" i="4"/>
  <c r="G133" i="4"/>
  <c r="J21" i="2"/>
  <c r="O29" i="7"/>
  <c r="N30" i="7"/>
  <c r="O30" i="7" s="1"/>
  <c r="AG97" i="2"/>
  <c r="AG96" i="2"/>
  <c r="O13" i="7"/>
  <c r="N14" i="7"/>
  <c r="S21" i="7"/>
  <c r="G84" i="8"/>
  <c r="AB83" i="2"/>
  <c r="AC81" i="2"/>
  <c r="P7" i="3"/>
  <c r="F101" i="8"/>
  <c r="G191" i="4"/>
  <c r="J35" i="2"/>
  <c r="G190" i="4"/>
  <c r="I35" i="2"/>
  <c r="B253" i="6"/>
  <c r="L232" i="6"/>
  <c r="G253" i="6"/>
  <c r="AF37" i="2"/>
  <c r="AF38" i="2"/>
  <c r="F60" i="8"/>
  <c r="F21" i="7"/>
  <c r="C248" i="4" a="1"/>
  <c r="C248" i="4" s="1"/>
  <c r="D249" i="4"/>
  <c r="C74" i="4" a="1"/>
  <c r="C74" i="4" s="1"/>
  <c r="D75" i="4"/>
  <c r="G247" i="4"/>
  <c r="H247" i="4"/>
  <c r="AC112" i="2"/>
  <c r="AB114" i="2"/>
  <c r="AC114" i="2" s="1"/>
  <c r="G73" i="4"/>
  <c r="H6" i="2"/>
  <c r="AB53" i="2"/>
  <c r="AC51" i="2"/>
  <c r="C28" i="7"/>
  <c r="B29" i="7"/>
  <c r="AD69" i="2" a="1"/>
  <c r="AH98" i="2" a="1"/>
  <c r="AI70" i="2" a="1"/>
  <c r="AG70" i="2" a="1"/>
  <c r="AI69" i="2" a="1"/>
  <c r="AG98" i="2" a="1"/>
  <c r="AG69" i="2" a="1"/>
  <c r="AF99" i="2" a="1"/>
  <c r="AG37" i="2" a="1"/>
  <c r="AI98" i="2" a="1"/>
  <c r="AH99" i="2" a="1"/>
  <c r="AF98" i="2" a="1"/>
  <c r="AD70" i="2" a="1"/>
  <c r="AG99" i="2" a="1"/>
  <c r="AG38" i="2" a="1"/>
  <c r="AI99" i="2" a="1"/>
  <c r="AC20" i="2" l="1"/>
  <c r="AB22" i="2"/>
  <c r="G4" i="3"/>
  <c r="T73" i="4"/>
  <c r="V72" i="4"/>
  <c r="Q13" i="2"/>
  <c r="P14" i="2"/>
  <c r="U74" i="4"/>
  <c r="S75" i="4"/>
  <c r="AD70" i="2"/>
  <c r="AD69" i="2"/>
  <c r="D73" i="8"/>
  <c r="P7" i="7"/>
  <c r="AG69" i="2"/>
  <c r="AG70" i="2"/>
  <c r="G73" i="8"/>
  <c r="S7" i="7"/>
  <c r="AF98" i="2"/>
  <c r="AF99" i="2"/>
  <c r="AG98" i="2"/>
  <c r="AG99" i="2"/>
  <c r="F85" i="8"/>
  <c r="R22" i="7"/>
  <c r="G7" i="2"/>
  <c r="S22" i="7"/>
  <c r="G85" i="8"/>
  <c r="AI70" i="2"/>
  <c r="AI69" i="2"/>
  <c r="I73" i="8"/>
  <c r="U7" i="7"/>
  <c r="D136" i="4"/>
  <c r="C135" i="4" a="1"/>
  <c r="C135" i="4" s="1"/>
  <c r="F21" i="2" s="1"/>
  <c r="G134" i="4"/>
  <c r="K21" i="2"/>
  <c r="C192" i="4" a="1"/>
  <c r="C192" i="4" s="1"/>
  <c r="E35" i="2" s="1"/>
  <c r="D193" i="4"/>
  <c r="AI98" i="2"/>
  <c r="AI99" i="2"/>
  <c r="AH98" i="2"/>
  <c r="AH99" i="2"/>
  <c r="I85" i="8"/>
  <c r="U22" i="7"/>
  <c r="T22" i="7"/>
  <c r="H85" i="8"/>
  <c r="O14" i="7"/>
  <c r="N15" i="7"/>
  <c r="O15" i="7" s="1"/>
  <c r="AC83" i="2"/>
  <c r="AB85" i="2"/>
  <c r="AC85" i="2" s="1"/>
  <c r="B274" i="6"/>
  <c r="L253" i="6"/>
  <c r="G274" i="6"/>
  <c r="AG38" i="2"/>
  <c r="AG37" i="2"/>
  <c r="G74" i="4"/>
  <c r="I7" i="2"/>
  <c r="C249" i="4" a="1"/>
  <c r="C249" i="4" s="1"/>
  <c r="D250" i="4"/>
  <c r="G248" i="4"/>
  <c r="H248" i="4"/>
  <c r="G21" i="7"/>
  <c r="G60" i="8"/>
  <c r="C75" i="4" a="1"/>
  <c r="C75" i="4" s="1"/>
  <c r="H7" i="2" s="1"/>
  <c r="D76" i="4"/>
  <c r="B30" i="7"/>
  <c r="C30" i="7" s="1"/>
  <c r="C29" i="7"/>
  <c r="AB55" i="2"/>
  <c r="AC55" i="2" s="1"/>
  <c r="AC53" i="2"/>
  <c r="AG39" i="2" a="1"/>
  <c r="AJ69" i="2" a="1"/>
  <c r="AJ70" i="2" a="1"/>
  <c r="AE69" i="2" a="1"/>
  <c r="AD98" i="2" a="1"/>
  <c r="AF40" i="2" a="1"/>
  <c r="AF39" i="2" a="1"/>
  <c r="AD99" i="2" a="1"/>
  <c r="AH40" i="2" a="1"/>
  <c r="AH39" i="2" a="1"/>
  <c r="AG40" i="2" a="1"/>
  <c r="AE70" i="2" a="1"/>
  <c r="Q14" i="2" l="1"/>
  <c r="P15" i="2"/>
  <c r="Q15" i="2" s="1"/>
  <c r="T74" i="4"/>
  <c r="H4" i="3"/>
  <c r="V73" i="4"/>
  <c r="Q7" i="3"/>
  <c r="G101" i="8"/>
  <c r="AC22" i="2"/>
  <c r="AB24" i="2"/>
  <c r="U75" i="4"/>
  <c r="S76" i="4"/>
  <c r="AE69" i="2"/>
  <c r="AE70" i="2"/>
  <c r="E73" i="8"/>
  <c r="Q7" i="7"/>
  <c r="AD99" i="2"/>
  <c r="AD98" i="2"/>
  <c r="D85" i="8"/>
  <c r="P22" i="7"/>
  <c r="AG40" i="2"/>
  <c r="AG39" i="2"/>
  <c r="AF39" i="2"/>
  <c r="AF40" i="2"/>
  <c r="G22" i="7"/>
  <c r="G61" i="8"/>
  <c r="F61" i="8"/>
  <c r="F22" i="7"/>
  <c r="AJ69" i="2"/>
  <c r="AJ70" i="2"/>
  <c r="G135" i="4"/>
  <c r="L21" i="2"/>
  <c r="J73" i="8"/>
  <c r="V7" i="7"/>
  <c r="D137" i="4"/>
  <c r="C136" i="4" a="1"/>
  <c r="C136" i="4" s="1"/>
  <c r="D194" i="4"/>
  <c r="D195" i="4" s="1"/>
  <c r="C195" i="4" s="1" a="1"/>
  <c r="C195" i="4" s="1"/>
  <c r="C193" i="4" a="1"/>
  <c r="C193" i="4" s="1"/>
  <c r="F35" i="2" s="1"/>
  <c r="K35" i="2"/>
  <c r="G192" i="4"/>
  <c r="I4" i="3"/>
  <c r="L274" i="6"/>
  <c r="AH40" i="2"/>
  <c r="AH39" i="2"/>
  <c r="C76" i="4" a="1"/>
  <c r="C76" i="4" s="1"/>
  <c r="E7" i="2" s="1"/>
  <c r="D22" i="7" s="1"/>
  <c r="D77" i="4"/>
  <c r="C250" i="4" a="1"/>
  <c r="C250" i="4" s="1"/>
  <c r="D251" i="4"/>
  <c r="H61" i="8"/>
  <c r="H22" i="7"/>
  <c r="H249" i="4"/>
  <c r="G249" i="4"/>
  <c r="G75" i="4"/>
  <c r="J7" i="2"/>
  <c r="AK70" i="2" a="1"/>
  <c r="AI40" i="2" a="1"/>
  <c r="AI39" i="2" a="1"/>
  <c r="AE99" i="2" a="1"/>
  <c r="AD39" i="2" a="1"/>
  <c r="AJ99" i="2" a="1"/>
  <c r="AK69" i="2" a="1"/>
  <c r="AE98" i="2" a="1"/>
  <c r="AD40" i="2" a="1"/>
  <c r="AJ98" i="2" a="1"/>
  <c r="R7" i="3" l="1"/>
  <c r="H101" i="8"/>
  <c r="V74" i="4"/>
  <c r="T75" i="4"/>
  <c r="AB26" i="2"/>
  <c r="AC26" i="2" s="1"/>
  <c r="AC24" i="2"/>
  <c r="U76" i="4"/>
  <c r="S77" i="4"/>
  <c r="AE99" i="2"/>
  <c r="AE98" i="2"/>
  <c r="E85" i="8"/>
  <c r="Q22" i="7"/>
  <c r="AD39" i="2"/>
  <c r="AD40" i="2"/>
  <c r="D61" i="8"/>
  <c r="K22" i="2"/>
  <c r="I22" i="2"/>
  <c r="AJ98" i="2"/>
  <c r="AJ99" i="2"/>
  <c r="AK69" i="2"/>
  <c r="AK70" i="2"/>
  <c r="G136" i="4"/>
  <c r="E22" i="2"/>
  <c r="C137" i="4" a="1"/>
  <c r="C137" i="4" s="1"/>
  <c r="J22" i="2" s="1"/>
  <c r="D138" i="4"/>
  <c r="G195" i="4"/>
  <c r="V22" i="7"/>
  <c r="J85" i="8"/>
  <c r="W7" i="7"/>
  <c r="K73" i="8"/>
  <c r="G193" i="4"/>
  <c r="L35" i="2"/>
  <c r="C194" i="4" a="1"/>
  <c r="C194" i="4" s="1"/>
  <c r="F36" i="2" s="1"/>
  <c r="D196" i="4"/>
  <c r="S7" i="3"/>
  <c r="I101" i="8"/>
  <c r="AI40" i="2"/>
  <c r="AI39" i="2"/>
  <c r="C251" i="4" a="1"/>
  <c r="C251" i="4" s="1"/>
  <c r="D252" i="4"/>
  <c r="H250" i="4"/>
  <c r="G250" i="4"/>
  <c r="I61" i="8"/>
  <c r="I22" i="7"/>
  <c r="C77" i="4" a="1"/>
  <c r="C77" i="4" s="1"/>
  <c r="F7" i="2" s="1"/>
  <c r="D78" i="4"/>
  <c r="G76" i="4"/>
  <c r="K7" i="2"/>
  <c r="AK98" i="2" a="1"/>
  <c r="AI72" i="2" a="1"/>
  <c r="AJ39" i="2" a="1"/>
  <c r="AE100" i="2" a="1"/>
  <c r="AE101" i="2" a="1"/>
  <c r="AD72" i="2" a="1"/>
  <c r="AI71" i="2" a="1"/>
  <c r="AJ40" i="2" a="1"/>
  <c r="AD71" i="2" a="1"/>
  <c r="AJ71" i="2" a="1"/>
  <c r="AH72" i="2" a="1"/>
  <c r="AK99" i="2" a="1"/>
  <c r="AE39" i="2" a="1"/>
  <c r="AJ72" i="2" a="1"/>
  <c r="AE40" i="2" a="1"/>
  <c r="AH71" i="2" a="1"/>
  <c r="V75" i="4" l="1"/>
  <c r="T76" i="4"/>
  <c r="U77" i="4"/>
  <c r="S78" i="4"/>
  <c r="AE39" i="2"/>
  <c r="AE40" i="2"/>
  <c r="E61" i="8"/>
  <c r="E22" i="7"/>
  <c r="L22" i="2"/>
  <c r="K74" i="8" s="1"/>
  <c r="AE101" i="2"/>
  <c r="AE100" i="2"/>
  <c r="AI72" i="2"/>
  <c r="AI71" i="2"/>
  <c r="AJ71" i="2"/>
  <c r="AJ72" i="2"/>
  <c r="AH71" i="2"/>
  <c r="AH72" i="2"/>
  <c r="E86" i="8"/>
  <c r="Q23" i="7"/>
  <c r="I74" i="8"/>
  <c r="U8" i="7"/>
  <c r="J74" i="8"/>
  <c r="V8" i="7"/>
  <c r="H74" i="8"/>
  <c r="T8" i="7"/>
  <c r="K36" i="2"/>
  <c r="L36" i="2"/>
  <c r="I36" i="2"/>
  <c r="J36" i="2"/>
  <c r="AD72" i="2"/>
  <c r="AD71" i="2"/>
  <c r="AK98" i="2"/>
  <c r="AK99" i="2"/>
  <c r="F22" i="2"/>
  <c r="G137" i="4"/>
  <c r="P8" i="7"/>
  <c r="D74" i="8"/>
  <c r="G194" i="4"/>
  <c r="E36" i="2"/>
  <c r="W22" i="7"/>
  <c r="K85" i="8"/>
  <c r="D139" i="4"/>
  <c r="C139" i="4" s="1" a="1"/>
  <c r="C139" i="4" s="1"/>
  <c r="G139" i="4" s="1"/>
  <c r="C138" i="4" a="1"/>
  <c r="C138" i="4" s="1"/>
  <c r="D197" i="4"/>
  <c r="C196" i="4" a="1"/>
  <c r="C196" i="4" s="1"/>
  <c r="K101" i="8"/>
  <c r="AJ39" i="2"/>
  <c r="AJ40" i="2"/>
  <c r="C78" i="4" a="1"/>
  <c r="C78" i="4" s="1"/>
  <c r="D79" i="4"/>
  <c r="C252" i="4" a="1"/>
  <c r="C252" i="4" s="1"/>
  <c r="D253" i="4"/>
  <c r="H251" i="4"/>
  <c r="G251" i="4"/>
  <c r="J61" i="8"/>
  <c r="J22" i="7"/>
  <c r="G77" i="4"/>
  <c r="L7" i="2"/>
  <c r="AK72" i="2" a="1"/>
  <c r="AH101" i="2" a="1"/>
  <c r="AI101" i="2" a="1"/>
  <c r="AK100" i="2" a="1"/>
  <c r="AD101" i="2" a="1"/>
  <c r="AK101" i="2" a="1"/>
  <c r="AE72" i="2" a="1"/>
  <c r="AI100" i="2" a="1"/>
  <c r="AH100" i="2" a="1"/>
  <c r="AJ100" i="2" a="1"/>
  <c r="AK40" i="2" a="1"/>
  <c r="AK71" i="2" a="1"/>
  <c r="AJ101" i="2" a="1"/>
  <c r="AE71" i="2" a="1"/>
  <c r="AK39" i="2" a="1"/>
  <c r="AD100" i="2" a="1"/>
  <c r="J4" i="3" l="1"/>
  <c r="T77" i="4"/>
  <c r="V76" i="4"/>
  <c r="U78" i="4"/>
  <c r="S79" i="4"/>
  <c r="AK71" i="2"/>
  <c r="AK72" i="2"/>
  <c r="W8" i="7"/>
  <c r="AI100" i="2"/>
  <c r="AI101" i="2"/>
  <c r="AJ101" i="2"/>
  <c r="AJ100" i="2"/>
  <c r="AH101" i="2"/>
  <c r="AH100" i="2"/>
  <c r="AK101" i="2"/>
  <c r="AK100" i="2"/>
  <c r="U23" i="7"/>
  <c r="I86" i="8"/>
  <c r="K8" i="2"/>
  <c r="I8" i="2"/>
  <c r="J86" i="8"/>
  <c r="V23" i="7"/>
  <c r="T23" i="7"/>
  <c r="H86" i="8"/>
  <c r="W23" i="7"/>
  <c r="K86" i="8"/>
  <c r="AE72" i="2"/>
  <c r="AE71" i="2"/>
  <c r="AD100" i="2"/>
  <c r="AD101" i="2"/>
  <c r="D198" i="4"/>
  <c r="C197" i="4" a="1"/>
  <c r="C197" i="4" s="1"/>
  <c r="G22" i="2"/>
  <c r="G138" i="4"/>
  <c r="H22" i="2"/>
  <c r="G74" i="8" s="1"/>
  <c r="D140" i="4"/>
  <c r="C140" i="4" s="1" a="1"/>
  <c r="C140" i="4" s="1"/>
  <c r="Q8" i="7"/>
  <c r="E74" i="8"/>
  <c r="P23" i="7"/>
  <c r="D86" i="8"/>
  <c r="G196" i="4"/>
  <c r="G36" i="2"/>
  <c r="D5" i="3"/>
  <c r="AK40" i="2"/>
  <c r="AK39" i="2"/>
  <c r="C79" i="4" a="1"/>
  <c r="C79" i="4" s="1"/>
  <c r="J8" i="2" s="1"/>
  <c r="D80" i="4"/>
  <c r="G78" i="4"/>
  <c r="E8" i="2"/>
  <c r="K22" i="7"/>
  <c r="K61" i="8"/>
  <c r="C253" i="4" a="1"/>
  <c r="C253" i="4" s="1"/>
  <c r="D254" i="4"/>
  <c r="H252" i="4"/>
  <c r="G252" i="4"/>
  <c r="AJ41" i="2" a="1"/>
  <c r="AF71" i="2" a="1"/>
  <c r="AF72" i="2" a="1"/>
  <c r="AD41" i="2" a="1"/>
  <c r="AJ42" i="2" a="1"/>
  <c r="AH41" i="2" a="1"/>
  <c r="AF100" i="2" a="1"/>
  <c r="AD42" i="2" a="1"/>
  <c r="AI42" i="2" a="1"/>
  <c r="AF101" i="2" a="1"/>
  <c r="AH42" i="2" a="1"/>
  <c r="AG71" i="2" a="1"/>
  <c r="AG72" i="2" a="1"/>
  <c r="AI41" i="2" a="1"/>
  <c r="T78" i="4" l="1"/>
  <c r="V77" i="4"/>
  <c r="J101" i="8"/>
  <c r="T7" i="3"/>
  <c r="U79" i="4"/>
  <c r="S80" i="4"/>
  <c r="L8" i="2"/>
  <c r="K23" i="7" s="1"/>
  <c r="AH42" i="2"/>
  <c r="AH41" i="2"/>
  <c r="AI42" i="2"/>
  <c r="AI41" i="2"/>
  <c r="AJ41" i="2"/>
  <c r="AJ42" i="2"/>
  <c r="G140" i="4"/>
  <c r="G23" i="2"/>
  <c r="H62" i="8"/>
  <c r="H23" i="7"/>
  <c r="I23" i="7"/>
  <c r="I62" i="8"/>
  <c r="J62" i="8"/>
  <c r="J23" i="7"/>
  <c r="D141" i="4"/>
  <c r="AF72" i="2"/>
  <c r="AF71" i="2"/>
  <c r="AF100" i="2"/>
  <c r="AF101" i="2"/>
  <c r="AG72" i="2"/>
  <c r="AG71" i="2"/>
  <c r="F74" i="8"/>
  <c r="R8" i="7"/>
  <c r="G197" i="4"/>
  <c r="H36" i="2"/>
  <c r="I23" i="2"/>
  <c r="H75" i="8" s="1"/>
  <c r="S8" i="7"/>
  <c r="C198" i="4" a="1"/>
  <c r="C198" i="4" s="1"/>
  <c r="D199" i="4"/>
  <c r="F86" i="8"/>
  <c r="R23" i="7"/>
  <c r="N9" i="3"/>
  <c r="D102" i="8"/>
  <c r="AD41" i="2"/>
  <c r="AD42" i="2"/>
  <c r="G79" i="4"/>
  <c r="F8" i="2"/>
  <c r="D62" i="8"/>
  <c r="D23" i="7"/>
  <c r="C80" i="4" a="1"/>
  <c r="C80" i="4" s="1"/>
  <c r="D81" i="4"/>
  <c r="C254" i="4" a="1"/>
  <c r="C254" i="4" s="1"/>
  <c r="D255" i="4"/>
  <c r="H253" i="4"/>
  <c r="G253" i="4"/>
  <c r="AE42" i="2" a="1"/>
  <c r="AF73" i="2" a="1"/>
  <c r="AE41" i="2" a="1"/>
  <c r="AK42" i="2" a="1"/>
  <c r="AF74" i="2" a="1"/>
  <c r="AH73" i="2" a="1"/>
  <c r="AH74" i="2" a="1"/>
  <c r="AG101" i="2" a="1"/>
  <c r="AG100" i="2" a="1"/>
  <c r="AK41" i="2" a="1"/>
  <c r="T79" i="4" l="1"/>
  <c r="V78" i="4"/>
  <c r="U80" i="4"/>
  <c r="S81" i="4"/>
  <c r="K62" i="8"/>
  <c r="AK41" i="2"/>
  <c r="AK42" i="2"/>
  <c r="AF74" i="2"/>
  <c r="AF73" i="2"/>
  <c r="G37" i="2"/>
  <c r="R9" i="7"/>
  <c r="F75" i="8"/>
  <c r="D142" i="4"/>
  <c r="C142" i="4" s="1" a="1"/>
  <c r="C142" i="4" s="1"/>
  <c r="C141" i="4" a="1"/>
  <c r="C141" i="4" s="1"/>
  <c r="AH73" i="2"/>
  <c r="AH74" i="2"/>
  <c r="AG101" i="2"/>
  <c r="AG100" i="2"/>
  <c r="D200" i="4"/>
  <c r="C199" i="4" a="1"/>
  <c r="C199" i="4" s="1"/>
  <c r="G198" i="4"/>
  <c r="I37" i="2"/>
  <c r="S23" i="7"/>
  <c r="G86" i="8"/>
  <c r="T9" i="7"/>
  <c r="F5" i="3"/>
  <c r="AE41" i="2"/>
  <c r="AE42" i="2"/>
  <c r="H254" i="4"/>
  <c r="G254" i="4"/>
  <c r="G80" i="4"/>
  <c r="G8" i="2"/>
  <c r="E62" i="8"/>
  <c r="E23" i="7"/>
  <c r="C81" i="4" a="1"/>
  <c r="C81" i="4" s="1"/>
  <c r="D82" i="4"/>
  <c r="C255" i="4" a="1"/>
  <c r="C255" i="4" s="1"/>
  <c r="D256" i="4"/>
  <c r="AF41" i="2" a="1"/>
  <c r="AF103" i="2" a="1"/>
  <c r="AF42" i="2" a="1"/>
  <c r="AH103" i="2" a="1"/>
  <c r="AH102" i="2" a="1"/>
  <c r="AF102" i="2" a="1"/>
  <c r="E5" i="3" l="1"/>
  <c r="T80" i="4"/>
  <c r="V79" i="4"/>
  <c r="U81" i="4"/>
  <c r="S82" i="4"/>
  <c r="G142" i="4"/>
  <c r="E23" i="2"/>
  <c r="H23" i="2"/>
  <c r="H37" i="2"/>
  <c r="S24" i="7" s="1"/>
  <c r="AF103" i="2"/>
  <c r="AF102" i="2"/>
  <c r="F87" i="8"/>
  <c r="R24" i="7"/>
  <c r="K23" i="2"/>
  <c r="J75" i="8" s="1"/>
  <c r="G141" i="4"/>
  <c r="J23" i="2"/>
  <c r="D143" i="4"/>
  <c r="AH103" i="2"/>
  <c r="AH102" i="2"/>
  <c r="G199" i="4"/>
  <c r="J37" i="2"/>
  <c r="D201" i="4"/>
  <c r="C200" i="4" a="1"/>
  <c r="C200" i="4" s="1"/>
  <c r="E37" i="2" s="1"/>
  <c r="D87" i="8" s="1"/>
  <c r="H87" i="8"/>
  <c r="T24" i="7"/>
  <c r="F102" i="8"/>
  <c r="P9" i="3"/>
  <c r="G5" i="3"/>
  <c r="AF41" i="2"/>
  <c r="AF42" i="2"/>
  <c r="H255" i="4"/>
  <c r="G255" i="4"/>
  <c r="C82" i="4" a="1"/>
  <c r="C82" i="4" s="1"/>
  <c r="D83" i="4"/>
  <c r="G81" i="4"/>
  <c r="H8" i="2"/>
  <c r="C256" i="4" a="1"/>
  <c r="C256" i="4" s="1"/>
  <c r="D257" i="4"/>
  <c r="F62" i="8"/>
  <c r="F23" i="7"/>
  <c r="AI102" i="2" a="1"/>
  <c r="AD73" i="2" a="1"/>
  <c r="AD103" i="2" a="1"/>
  <c r="AI74" i="2" a="1"/>
  <c r="AG103" i="2" a="1"/>
  <c r="AD74" i="2" a="1"/>
  <c r="AG73" i="2" a="1"/>
  <c r="AD102" i="2" a="1"/>
  <c r="AG102" i="2" a="1"/>
  <c r="AJ74" i="2" a="1"/>
  <c r="AI103" i="2" a="1"/>
  <c r="AG74" i="2" a="1"/>
  <c r="AJ73" i="2" a="1"/>
  <c r="AI73" i="2" a="1"/>
  <c r="AG41" i="2" a="1"/>
  <c r="AG42" i="2" a="1"/>
  <c r="V80" i="4" l="1"/>
  <c r="T81" i="4"/>
  <c r="O9" i="3"/>
  <c r="E102" i="8"/>
  <c r="U82" i="4"/>
  <c r="S83" i="4"/>
  <c r="AD103" i="2"/>
  <c r="AD102" i="2"/>
  <c r="AD73" i="2"/>
  <c r="AD74" i="2"/>
  <c r="P24" i="7"/>
  <c r="D75" i="8"/>
  <c r="P9" i="7"/>
  <c r="AG102" i="2"/>
  <c r="AG103" i="2"/>
  <c r="AG73" i="2"/>
  <c r="AG74" i="2"/>
  <c r="G87" i="8"/>
  <c r="G75" i="8"/>
  <c r="S9" i="7"/>
  <c r="G9" i="2"/>
  <c r="V9" i="7"/>
  <c r="AJ73" i="2"/>
  <c r="AJ74" i="2"/>
  <c r="AI74" i="2"/>
  <c r="AI73" i="2"/>
  <c r="C143" i="4" a="1"/>
  <c r="C143" i="4" s="1"/>
  <c r="F23" i="2" s="1"/>
  <c r="E75" i="8" s="1"/>
  <c r="D144" i="4"/>
  <c r="C144" i="4" s="1" a="1"/>
  <c r="C144" i="4" s="1"/>
  <c r="I75" i="8"/>
  <c r="U9" i="7"/>
  <c r="AI103" i="2"/>
  <c r="AI102" i="2"/>
  <c r="D202" i="4"/>
  <c r="C201" i="4" a="1"/>
  <c r="C201" i="4" s="1"/>
  <c r="F37" i="2" s="1"/>
  <c r="G200" i="4"/>
  <c r="K37" i="2"/>
  <c r="I87" i="8"/>
  <c r="U24" i="7"/>
  <c r="H5" i="3"/>
  <c r="Q9" i="3"/>
  <c r="G102" i="8"/>
  <c r="AG42" i="2"/>
  <c r="AG41" i="2"/>
  <c r="C257" i="4" a="1"/>
  <c r="C257" i="4" s="1"/>
  <c r="D258" i="4"/>
  <c r="G62" i="8"/>
  <c r="G23" i="7"/>
  <c r="C83" i="4" a="1"/>
  <c r="C83" i="4" s="1"/>
  <c r="D84" i="4"/>
  <c r="G82" i="4"/>
  <c r="I9" i="2"/>
  <c r="G256" i="4"/>
  <c r="H256" i="4"/>
  <c r="AJ103" i="2" a="1"/>
  <c r="AJ102" i="2" a="1"/>
  <c r="AE102" i="2" a="1"/>
  <c r="AE74" i="2" a="1"/>
  <c r="AF43" i="2" a="1"/>
  <c r="AE73" i="2" a="1"/>
  <c r="AH44" i="2" a="1"/>
  <c r="AH43" i="2" a="1"/>
  <c r="AF44" i="2" a="1"/>
  <c r="AE103" i="2" a="1"/>
  <c r="V81" i="4" l="1"/>
  <c r="T82" i="4"/>
  <c r="U83" i="4"/>
  <c r="S84" i="4"/>
  <c r="AE102" i="2"/>
  <c r="AE103" i="2"/>
  <c r="AE74" i="2"/>
  <c r="AE73" i="2"/>
  <c r="Q24" i="7"/>
  <c r="E87" i="8"/>
  <c r="Q9" i="7"/>
  <c r="H9" i="2"/>
  <c r="G63" i="8" s="1"/>
  <c r="AF44" i="2"/>
  <c r="AF43" i="2"/>
  <c r="E24" i="2"/>
  <c r="D76" i="8" s="1"/>
  <c r="K24" i="2"/>
  <c r="I24" i="2"/>
  <c r="F63" i="8"/>
  <c r="F24" i="7"/>
  <c r="G144" i="4"/>
  <c r="G143" i="4"/>
  <c r="L23" i="2"/>
  <c r="D145" i="4"/>
  <c r="AJ103" i="2"/>
  <c r="AJ102" i="2"/>
  <c r="V24" i="7"/>
  <c r="J87" i="8"/>
  <c r="L37" i="2"/>
  <c r="G201" i="4"/>
  <c r="D203" i="4"/>
  <c r="C202" i="4" a="1"/>
  <c r="C202" i="4" s="1"/>
  <c r="R9" i="3"/>
  <c r="H102" i="8"/>
  <c r="I5" i="3"/>
  <c r="AH44" i="2"/>
  <c r="AH43" i="2"/>
  <c r="H257" i="4"/>
  <c r="G257" i="4"/>
  <c r="H24" i="7"/>
  <c r="H63" i="8"/>
  <c r="C84" i="4" a="1"/>
  <c r="C84" i="4" s="1"/>
  <c r="E9" i="2" s="1"/>
  <c r="D63" i="8" s="1"/>
  <c r="D85" i="4"/>
  <c r="C258" i="4" a="1"/>
  <c r="C258" i="4" s="1"/>
  <c r="D259" i="4"/>
  <c r="G83" i="4"/>
  <c r="J9" i="2"/>
  <c r="AK102" i="2" a="1"/>
  <c r="AH75" i="2" a="1"/>
  <c r="AK74" i="2" a="1"/>
  <c r="AJ75" i="2" a="1"/>
  <c r="AD43" i="2" a="1"/>
  <c r="AJ76" i="2" a="1"/>
  <c r="AG44" i="2" a="1"/>
  <c r="AH76" i="2" a="1"/>
  <c r="AK103" i="2" a="1"/>
  <c r="AD44" i="2" a="1"/>
  <c r="AG43" i="2" a="1"/>
  <c r="AK73" i="2" a="1"/>
  <c r="AD75" i="2" a="1"/>
  <c r="AI44" i="2" a="1"/>
  <c r="AI43" i="2" a="1"/>
  <c r="AD76" i="2" a="1"/>
  <c r="V82" i="4" l="1"/>
  <c r="T83" i="4"/>
  <c r="U84" i="4"/>
  <c r="S85" i="4"/>
  <c r="P10" i="7"/>
  <c r="AD44" i="2"/>
  <c r="AD43" i="2"/>
  <c r="D24" i="7"/>
  <c r="G24" i="7"/>
  <c r="AG44" i="2"/>
  <c r="AG43" i="2"/>
  <c r="AH75" i="2"/>
  <c r="AH76" i="2"/>
  <c r="AJ75" i="2"/>
  <c r="AJ76" i="2"/>
  <c r="AD75" i="2"/>
  <c r="AD76" i="2"/>
  <c r="K38" i="2"/>
  <c r="I38" i="2"/>
  <c r="H76" i="8"/>
  <c r="T10" i="7"/>
  <c r="J76" i="8"/>
  <c r="V10" i="7"/>
  <c r="AK73" i="2"/>
  <c r="AK74" i="2"/>
  <c r="C145" i="4" a="1"/>
  <c r="C145" i="4" s="1"/>
  <c r="D146" i="4"/>
  <c r="K75" i="8"/>
  <c r="W9" i="7"/>
  <c r="AK103" i="2"/>
  <c r="AK102" i="2"/>
  <c r="C203" i="4" a="1"/>
  <c r="C203" i="4" s="1"/>
  <c r="J38" i="2" s="1"/>
  <c r="D204" i="4"/>
  <c r="W24" i="7"/>
  <c r="K87" i="8"/>
  <c r="E38" i="2"/>
  <c r="G202" i="4"/>
  <c r="S9" i="3"/>
  <c r="I102" i="8"/>
  <c r="AI44" i="2"/>
  <c r="AI43" i="2"/>
  <c r="C85" i="4" a="1"/>
  <c r="C85" i="4" s="1"/>
  <c r="F9" i="2" s="1"/>
  <c r="D86" i="4"/>
  <c r="C259" i="4" a="1"/>
  <c r="C259" i="4" s="1"/>
  <c r="D260" i="4"/>
  <c r="G84" i="4"/>
  <c r="K9" i="2"/>
  <c r="I24" i="7"/>
  <c r="I63" i="8"/>
  <c r="H258" i="4"/>
  <c r="G258" i="4"/>
  <c r="AE43" i="2" a="1"/>
  <c r="AI104" i="2" a="1"/>
  <c r="AJ43" i="2" a="1"/>
  <c r="AD105" i="2" a="1"/>
  <c r="AI105" i="2" a="1"/>
  <c r="AH104" i="2" a="1"/>
  <c r="AJ44" i="2" a="1"/>
  <c r="AJ104" i="2" a="1"/>
  <c r="AJ105" i="2" a="1"/>
  <c r="AD104" i="2" a="1"/>
  <c r="AE44" i="2" a="1"/>
  <c r="AH105" i="2" a="1"/>
  <c r="V83" i="4" l="1"/>
  <c r="T84" i="4"/>
  <c r="U85" i="4"/>
  <c r="S86" i="4"/>
  <c r="AE44" i="2"/>
  <c r="AE43" i="2"/>
  <c r="E63" i="8"/>
  <c r="E24" i="7"/>
  <c r="L38" i="2"/>
  <c r="K88" i="8" s="1"/>
  <c r="L24" i="2"/>
  <c r="J24" i="2"/>
  <c r="AH104" i="2"/>
  <c r="AH105" i="2"/>
  <c r="AI105" i="2"/>
  <c r="AI104" i="2"/>
  <c r="AJ105" i="2"/>
  <c r="AJ104" i="2"/>
  <c r="H88" i="8"/>
  <c r="T25" i="7"/>
  <c r="I88" i="8"/>
  <c r="U25" i="7"/>
  <c r="J88" i="8"/>
  <c r="V25" i="7"/>
  <c r="D147" i="4"/>
  <c r="C146" i="4" a="1"/>
  <c r="C146" i="4" s="1"/>
  <c r="F24" i="2"/>
  <c r="G145" i="4"/>
  <c r="AD104" i="2"/>
  <c r="AD105" i="2"/>
  <c r="D88" i="8"/>
  <c r="P25" i="7"/>
  <c r="D205" i="4"/>
  <c r="C205" i="4" s="1" a="1"/>
  <c r="C205" i="4" s="1"/>
  <c r="G205" i="4" s="1"/>
  <c r="C204" i="4" a="1"/>
  <c r="C204" i="4" s="1"/>
  <c r="G203" i="4"/>
  <c r="F38" i="2"/>
  <c r="AJ43" i="2"/>
  <c r="AJ44" i="2"/>
  <c r="G85" i="4"/>
  <c r="L9" i="2"/>
  <c r="H259" i="4"/>
  <c r="G259" i="4"/>
  <c r="C86" i="4" a="1"/>
  <c r="C86" i="4" s="1"/>
  <c r="D87" i="4"/>
  <c r="J63" i="8"/>
  <c r="J24" i="7"/>
  <c r="C260" i="4" a="1"/>
  <c r="C260" i="4" s="1"/>
  <c r="D261" i="4"/>
  <c r="AE76" i="2" a="1"/>
  <c r="AE105" i="2" a="1"/>
  <c r="AI75" i="2" a="1"/>
  <c r="AK76" i="2" a="1"/>
  <c r="AE75" i="2" a="1"/>
  <c r="AK44" i="2" a="1"/>
  <c r="AI76" i="2" a="1"/>
  <c r="AK105" i="2" a="1"/>
  <c r="AK43" i="2" a="1"/>
  <c r="AK75" i="2" a="1"/>
  <c r="AE104" i="2" a="1"/>
  <c r="AK104" i="2" a="1"/>
  <c r="J5" i="3" l="1"/>
  <c r="T85" i="4"/>
  <c r="V84" i="4"/>
  <c r="U86" i="4"/>
  <c r="S87" i="4"/>
  <c r="AI75" i="2"/>
  <c r="AI76" i="2"/>
  <c r="AK76" i="2"/>
  <c r="AK75" i="2"/>
  <c r="AK104" i="2"/>
  <c r="AK105" i="2"/>
  <c r="W25" i="7"/>
  <c r="I76" i="8"/>
  <c r="U10" i="7"/>
  <c r="K76" i="8"/>
  <c r="W10" i="7"/>
  <c r="I10" i="2"/>
  <c r="K10" i="2"/>
  <c r="AE76" i="2"/>
  <c r="AE75" i="2"/>
  <c r="E76" i="8"/>
  <c r="Q10" i="7"/>
  <c r="G146" i="4"/>
  <c r="G24" i="2"/>
  <c r="C147" i="4" a="1"/>
  <c r="C147" i="4" s="1"/>
  <c r="D148" i="4"/>
  <c r="AE105" i="2"/>
  <c r="AE104" i="2"/>
  <c r="H38" i="2"/>
  <c r="S25" i="7" s="1"/>
  <c r="E88" i="8"/>
  <c r="Q25" i="7"/>
  <c r="G38" i="2"/>
  <c r="G204" i="4"/>
  <c r="D206" i="4"/>
  <c r="K102" i="8"/>
  <c r="D6" i="3"/>
  <c r="AK44" i="2"/>
  <c r="AK43" i="2"/>
  <c r="H260" i="4"/>
  <c r="G260" i="4"/>
  <c r="K24" i="7"/>
  <c r="K63" i="8"/>
  <c r="C87" i="4" a="1"/>
  <c r="C87" i="4" s="1"/>
  <c r="L10" i="2" s="1"/>
  <c r="D88" i="4"/>
  <c r="C261" i="4" a="1"/>
  <c r="C261" i="4" s="1"/>
  <c r="D262" i="4"/>
  <c r="G86" i="4"/>
  <c r="E10" i="2"/>
  <c r="AF104" i="2" a="1"/>
  <c r="AF105" i="2" a="1"/>
  <c r="AK46" i="2" a="1"/>
  <c r="AH46" i="2" a="1"/>
  <c r="AG105" i="2" a="1"/>
  <c r="AD46" i="2" a="1"/>
  <c r="AD45" i="2" a="1"/>
  <c r="AK45" i="2" a="1"/>
  <c r="AH45" i="2" a="1"/>
  <c r="AG104" i="2" a="1"/>
  <c r="AJ46" i="2" a="1"/>
  <c r="AF76" i="2" a="1"/>
  <c r="AF75" i="2" a="1"/>
  <c r="AJ45" i="2" a="1"/>
  <c r="V85" i="4" l="1"/>
  <c r="T86" i="4"/>
  <c r="T9" i="3"/>
  <c r="J102" i="8"/>
  <c r="U87" i="4"/>
  <c r="S88" i="4"/>
  <c r="J10" i="2"/>
  <c r="I64" i="8" s="1"/>
  <c r="AH45" i="2"/>
  <c r="AH46" i="2"/>
  <c r="AJ46" i="2"/>
  <c r="AJ45" i="2"/>
  <c r="AK46" i="2"/>
  <c r="AK45" i="2"/>
  <c r="H64" i="8"/>
  <c r="H25" i="7"/>
  <c r="J25" i="7"/>
  <c r="J64" i="8"/>
  <c r="K64" i="8"/>
  <c r="K25" i="7"/>
  <c r="AF75" i="2"/>
  <c r="AF76" i="2"/>
  <c r="C148" i="4" a="1"/>
  <c r="C148" i="4" s="1"/>
  <c r="D149" i="4"/>
  <c r="C149" i="4" s="1" a="1"/>
  <c r="C149" i="4" s="1"/>
  <c r="G149" i="4" s="1"/>
  <c r="H24" i="2"/>
  <c r="G147" i="4"/>
  <c r="F76" i="8"/>
  <c r="R10" i="7"/>
  <c r="AF105" i="2"/>
  <c r="AF104" i="2"/>
  <c r="AG104" i="2"/>
  <c r="AG105" i="2"/>
  <c r="C206" i="4" a="1"/>
  <c r="C206" i="4" s="1"/>
  <c r="D207" i="4"/>
  <c r="C207" i="4" s="1" a="1"/>
  <c r="C207" i="4" s="1"/>
  <c r="R25" i="7"/>
  <c r="F88" i="8"/>
  <c r="G88" i="8"/>
  <c r="D103" i="8"/>
  <c r="N10" i="3"/>
  <c r="AD45" i="2"/>
  <c r="AD46" i="2"/>
  <c r="G87" i="4"/>
  <c r="F10" i="2"/>
  <c r="C88" i="4" a="1"/>
  <c r="C88" i="4" s="1"/>
  <c r="D89" i="4"/>
  <c r="D64" i="8"/>
  <c r="D25" i="7"/>
  <c r="C262" i="4" a="1"/>
  <c r="C262" i="4" s="1"/>
  <c r="D263" i="4"/>
  <c r="H261" i="4"/>
  <c r="G261" i="4"/>
  <c r="AG75" i="2" a="1"/>
  <c r="AI46" i="2" a="1"/>
  <c r="AG76" i="2" a="1"/>
  <c r="AE45" i="2" a="1"/>
  <c r="AI45" i="2" a="1"/>
  <c r="AE46" i="2" a="1"/>
  <c r="V86" i="4" l="1"/>
  <c r="T87" i="4"/>
  <c r="U88" i="4"/>
  <c r="S89" i="4"/>
  <c r="AI46" i="2"/>
  <c r="AI45" i="2"/>
  <c r="I25" i="7"/>
  <c r="G39" i="2"/>
  <c r="H39" i="2"/>
  <c r="J39" i="2"/>
  <c r="I89" i="8" s="1"/>
  <c r="G25" i="2"/>
  <c r="H25" i="2"/>
  <c r="AG76" i="2"/>
  <c r="AG75" i="2"/>
  <c r="G76" i="8"/>
  <c r="S10" i="7"/>
  <c r="I25" i="2"/>
  <c r="G148" i="4"/>
  <c r="J25" i="2"/>
  <c r="U11" i="7" s="1"/>
  <c r="D150" i="4"/>
  <c r="I39" i="2"/>
  <c r="G206" i="4"/>
  <c r="G207" i="4"/>
  <c r="D208" i="4"/>
  <c r="G6" i="3"/>
  <c r="F6" i="3"/>
  <c r="AE46" i="2"/>
  <c r="AE45" i="2"/>
  <c r="G88" i="4"/>
  <c r="G10" i="2"/>
  <c r="C263" i="4" a="1"/>
  <c r="C263" i="4" s="1"/>
  <c r="D264" i="4"/>
  <c r="E25" i="7"/>
  <c r="E64" i="8"/>
  <c r="H262" i="4"/>
  <c r="G262" i="4"/>
  <c r="C89" i="4" a="1"/>
  <c r="C89" i="4" s="1"/>
  <c r="D90" i="4"/>
  <c r="AG78" i="2" a="1"/>
  <c r="AF106" i="2" a="1"/>
  <c r="AI78" i="2" a="1"/>
  <c r="AH78" i="2" a="1"/>
  <c r="AI106" i="2" a="1"/>
  <c r="AH106" i="2" a="1"/>
  <c r="AI107" i="2" a="1"/>
  <c r="AH107" i="2" a="1"/>
  <c r="AI77" i="2" a="1"/>
  <c r="AF77" i="2" a="1"/>
  <c r="AH77" i="2" a="1"/>
  <c r="AF45" i="2" a="1"/>
  <c r="AF78" i="2" a="1"/>
  <c r="AG106" i="2" a="1"/>
  <c r="AF107" i="2" a="1"/>
  <c r="AG107" i="2" a="1"/>
  <c r="AG77" i="2" a="1"/>
  <c r="AF46" i="2" a="1"/>
  <c r="E6" i="3" l="1"/>
  <c r="T88" i="4"/>
  <c r="V87" i="4"/>
  <c r="U89" i="4"/>
  <c r="S90" i="4"/>
  <c r="U26" i="7"/>
  <c r="AG78" i="2"/>
  <c r="AG77" i="2"/>
  <c r="AF78" i="2"/>
  <c r="AF77" i="2"/>
  <c r="AI106" i="2"/>
  <c r="AI107" i="2"/>
  <c r="AG107" i="2"/>
  <c r="AG106" i="2"/>
  <c r="AF107" i="2"/>
  <c r="AF106" i="2"/>
  <c r="S11" i="7"/>
  <c r="G77" i="8"/>
  <c r="F77" i="8"/>
  <c r="R11" i="7"/>
  <c r="G89" i="8"/>
  <c r="S26" i="7"/>
  <c r="R26" i="7"/>
  <c r="F89" i="8"/>
  <c r="I77" i="8"/>
  <c r="AI78" i="2"/>
  <c r="AI77" i="2"/>
  <c r="AH77" i="2"/>
  <c r="AH78" i="2"/>
  <c r="H77" i="8"/>
  <c r="T11" i="7"/>
  <c r="D151" i="4"/>
  <c r="C151" i="4" s="1" a="1"/>
  <c r="C151" i="4" s="1"/>
  <c r="C150" i="4" a="1"/>
  <c r="C150" i="4" s="1"/>
  <c r="E25" i="2" s="1"/>
  <c r="D77" i="8" s="1"/>
  <c r="AH106" i="2"/>
  <c r="AH107" i="2"/>
  <c r="C208" i="4" a="1"/>
  <c r="C208" i="4" s="1"/>
  <c r="E39" i="2" s="1"/>
  <c r="D209" i="4"/>
  <c r="H89" i="8"/>
  <c r="T26" i="7"/>
  <c r="P10" i="3"/>
  <c r="F103" i="8"/>
  <c r="Q10" i="3"/>
  <c r="G103" i="8"/>
  <c r="AF46" i="2"/>
  <c r="AF45" i="2"/>
  <c r="G89" i="4"/>
  <c r="H10" i="2"/>
  <c r="F64" i="8"/>
  <c r="F25" i="7"/>
  <c r="C90" i="4" a="1"/>
  <c r="C90" i="4" s="1"/>
  <c r="D91" i="4"/>
  <c r="C264" i="4" a="1"/>
  <c r="C264" i="4" s="1"/>
  <c r="D265" i="4"/>
  <c r="G263" i="4"/>
  <c r="H263" i="4"/>
  <c r="AD107" i="2" a="1"/>
  <c r="AG45" i="2" a="1"/>
  <c r="AD77" i="2" a="1"/>
  <c r="AG46" i="2" a="1"/>
  <c r="AD106" i="2" a="1"/>
  <c r="AD78" i="2" a="1"/>
  <c r="V88" i="4" l="1"/>
  <c r="T89" i="4"/>
  <c r="E103" i="8"/>
  <c r="O10" i="3"/>
  <c r="U90" i="4"/>
  <c r="S91" i="4"/>
  <c r="G151" i="4"/>
  <c r="F25" i="2"/>
  <c r="AD106" i="2"/>
  <c r="AD107" i="2"/>
  <c r="AD78" i="2"/>
  <c r="AD77" i="2"/>
  <c r="P11" i="7"/>
  <c r="D89" i="8"/>
  <c r="P26" i="7"/>
  <c r="G11" i="2"/>
  <c r="L25" i="2"/>
  <c r="W11" i="7" s="1"/>
  <c r="G150" i="4"/>
  <c r="K25" i="2"/>
  <c r="D152" i="4"/>
  <c r="C209" i="4" a="1"/>
  <c r="C209" i="4" s="1"/>
  <c r="F39" i="2" s="1"/>
  <c r="D210" i="4"/>
  <c r="G208" i="4"/>
  <c r="K39" i="2"/>
  <c r="H6" i="3"/>
  <c r="AG46" i="2"/>
  <c r="AG45" i="2"/>
  <c r="G90" i="4"/>
  <c r="I11" i="2"/>
  <c r="G64" i="8"/>
  <c r="G25" i="7"/>
  <c r="C265" i="4" a="1"/>
  <c r="C265" i="4" s="1"/>
  <c r="D266" i="4"/>
  <c r="G264" i="4"/>
  <c r="H264" i="4"/>
  <c r="C91" i="4" a="1"/>
  <c r="C91" i="4" s="1"/>
  <c r="D92" i="4"/>
  <c r="AF47" i="2" a="1"/>
  <c r="AE107" i="2" a="1"/>
  <c r="AH48" i="2" a="1"/>
  <c r="AF48" i="2" a="1"/>
  <c r="AK78" i="2" a="1"/>
  <c r="AJ78" i="2" a="1"/>
  <c r="AJ107" i="2" a="1"/>
  <c r="AE77" i="2" a="1"/>
  <c r="AJ77" i="2" a="1"/>
  <c r="AH47" i="2" a="1"/>
  <c r="AJ106" i="2" a="1"/>
  <c r="AK77" i="2" a="1"/>
  <c r="AE106" i="2" a="1"/>
  <c r="AE78" i="2" a="1"/>
  <c r="T90" i="4" l="1"/>
  <c r="V89" i="4"/>
  <c r="U91" i="4"/>
  <c r="S92" i="4"/>
  <c r="AE106" i="2"/>
  <c r="AE107" i="2"/>
  <c r="AE77" i="2"/>
  <c r="AE78" i="2"/>
  <c r="E89" i="8"/>
  <c r="Q26" i="7"/>
  <c r="Q11" i="7"/>
  <c r="E77" i="8"/>
  <c r="H11" i="2"/>
  <c r="G65" i="8" s="1"/>
  <c r="AF47" i="2"/>
  <c r="AF48" i="2"/>
  <c r="F26" i="7"/>
  <c r="F65" i="8"/>
  <c r="K77" i="8"/>
  <c r="AK77" i="2"/>
  <c r="AK78" i="2"/>
  <c r="AJ78" i="2"/>
  <c r="AJ77" i="2"/>
  <c r="D153" i="4"/>
  <c r="C152" i="4" a="1"/>
  <c r="C152" i="4" s="1"/>
  <c r="J77" i="8"/>
  <c r="V11" i="7"/>
  <c r="AJ106" i="2"/>
  <c r="AJ107" i="2"/>
  <c r="J89" i="8"/>
  <c r="V26" i="7"/>
  <c r="C210" i="4" a="1"/>
  <c r="C210" i="4" s="1"/>
  <c r="D211" i="4"/>
  <c r="L39" i="2"/>
  <c r="G209" i="4"/>
  <c r="H103" i="8"/>
  <c r="R10" i="3"/>
  <c r="I6" i="3"/>
  <c r="AH48" i="2"/>
  <c r="AH47" i="2"/>
  <c r="H65" i="8"/>
  <c r="H26" i="7"/>
  <c r="C266" i="4" a="1"/>
  <c r="C266" i="4" s="1"/>
  <c r="D267" i="4"/>
  <c r="H265" i="4"/>
  <c r="G265" i="4"/>
  <c r="C92" i="4" a="1"/>
  <c r="C92" i="4" s="1"/>
  <c r="E11" i="2" s="1"/>
  <c r="D65" i="8" s="1"/>
  <c r="D93" i="4"/>
  <c r="G91" i="4"/>
  <c r="J11" i="2"/>
  <c r="AK106" i="2" a="1"/>
  <c r="AI48" i="2" a="1"/>
  <c r="AG48" i="2" a="1"/>
  <c r="AD47" i="2" a="1"/>
  <c r="AK107" i="2" a="1"/>
  <c r="AI47" i="2" a="1"/>
  <c r="AG47" i="2" a="1"/>
  <c r="AD48" i="2" a="1"/>
  <c r="V90" i="4" l="1"/>
  <c r="T91" i="4"/>
  <c r="U92" i="4"/>
  <c r="S93" i="4"/>
  <c r="AD48" i="2"/>
  <c r="AD47" i="2"/>
  <c r="D26" i="7"/>
  <c r="AG48" i="2"/>
  <c r="AG47" i="2"/>
  <c r="G26" i="7"/>
  <c r="K26" i="2"/>
  <c r="I26" i="2"/>
  <c r="K40" i="2"/>
  <c r="I40" i="2"/>
  <c r="G152" i="4"/>
  <c r="E26" i="2"/>
  <c r="C153" i="4" a="1"/>
  <c r="C153" i="4" s="1"/>
  <c r="L26" i="2" s="1"/>
  <c r="D154" i="4"/>
  <c r="AK106" i="2"/>
  <c r="AK107" i="2"/>
  <c r="K89" i="8"/>
  <c r="W26" i="7"/>
  <c r="E40" i="2"/>
  <c r="G210" i="4"/>
  <c r="C211" i="4" a="1"/>
  <c r="C211" i="4" s="1"/>
  <c r="L40" i="2" s="1"/>
  <c r="D212" i="4"/>
  <c r="C212" i="4" s="1" a="1"/>
  <c r="C212" i="4" s="1"/>
  <c r="G40" i="2" s="1"/>
  <c r="S10" i="3"/>
  <c r="I103" i="8"/>
  <c r="AI48" i="2"/>
  <c r="AI47" i="2"/>
  <c r="C267" i="4" a="1"/>
  <c r="C267" i="4" s="1"/>
  <c r="D268" i="4"/>
  <c r="I65" i="8"/>
  <c r="I26" i="7"/>
  <c r="H266" i="4"/>
  <c r="G266" i="4"/>
  <c r="G92" i="4"/>
  <c r="K11" i="2"/>
  <c r="C93" i="4" a="1"/>
  <c r="C93" i="4" s="1"/>
  <c r="F11" i="2" s="1"/>
  <c r="D94" i="4"/>
  <c r="AH109" i="2" a="1"/>
  <c r="AJ80" i="2" a="1"/>
  <c r="AJ79" i="2" a="1"/>
  <c r="AK108" i="2" a="1"/>
  <c r="AD80" i="2" a="1"/>
  <c r="AH79" i="2" a="1"/>
  <c r="AE48" i="2" a="1"/>
  <c r="AD108" i="2" a="1"/>
  <c r="AK80" i="2" a="1"/>
  <c r="AJ109" i="2" a="1"/>
  <c r="AH108" i="2" a="1"/>
  <c r="AK109" i="2" a="1"/>
  <c r="AF108" i="2" a="1"/>
  <c r="AH80" i="2" a="1"/>
  <c r="AF109" i="2" a="1"/>
  <c r="AJ47" i="2" a="1"/>
  <c r="AK79" i="2" a="1"/>
  <c r="AJ48" i="2" a="1"/>
  <c r="AD79" i="2" a="1"/>
  <c r="AE47" i="2" a="1"/>
  <c r="AD109" i="2" a="1"/>
  <c r="AJ108" i="2" a="1"/>
  <c r="T92" i="4" l="1"/>
  <c r="V91" i="4"/>
  <c r="U93" i="4"/>
  <c r="S94" i="4"/>
  <c r="AE47" i="2"/>
  <c r="AE48" i="2"/>
  <c r="E26" i="7"/>
  <c r="E65" i="8"/>
  <c r="J40" i="2"/>
  <c r="I90" i="8" s="1"/>
  <c r="J26" i="2"/>
  <c r="I78" i="8" s="1"/>
  <c r="AK108" i="2"/>
  <c r="AK109" i="2"/>
  <c r="AH109" i="2"/>
  <c r="AH108" i="2"/>
  <c r="AJ109" i="2"/>
  <c r="AJ108" i="2"/>
  <c r="AH79" i="2"/>
  <c r="AH80" i="2"/>
  <c r="AJ80" i="2"/>
  <c r="AJ79" i="2"/>
  <c r="AK80" i="2"/>
  <c r="AK79" i="2"/>
  <c r="W27" i="7"/>
  <c r="K90" i="8"/>
  <c r="H90" i="8"/>
  <c r="T27" i="7"/>
  <c r="J90" i="8"/>
  <c r="V27" i="7"/>
  <c r="T12" i="7"/>
  <c r="H78" i="8"/>
  <c r="V12" i="7"/>
  <c r="J78" i="8"/>
  <c r="K78" i="8"/>
  <c r="W12" i="7"/>
  <c r="AD80" i="2"/>
  <c r="AD79" i="2"/>
  <c r="C154" i="4" a="1"/>
  <c r="C154" i="4" s="1"/>
  <c r="D155" i="4"/>
  <c r="G153" i="4"/>
  <c r="F26" i="2"/>
  <c r="P12" i="7"/>
  <c r="D78" i="8"/>
  <c r="AD108" i="2"/>
  <c r="AD109" i="2"/>
  <c r="G211" i="4"/>
  <c r="F40" i="2"/>
  <c r="G212" i="4"/>
  <c r="D90" i="8"/>
  <c r="P27" i="7"/>
  <c r="D213" i="4"/>
  <c r="C213" i="4" s="1" a="1"/>
  <c r="C213" i="4" s="1"/>
  <c r="H40" i="2" s="1"/>
  <c r="AF108" i="2"/>
  <c r="AF109" i="2"/>
  <c r="AJ48" i="2"/>
  <c r="AJ47" i="2"/>
  <c r="C268" i="4" a="1"/>
  <c r="C268" i="4" s="1"/>
  <c r="D269" i="4"/>
  <c r="G93" i="4"/>
  <c r="L11" i="2"/>
  <c r="F90" i="8"/>
  <c r="R27" i="7"/>
  <c r="H267" i="4"/>
  <c r="G267" i="4"/>
  <c r="C94" i="4" a="1"/>
  <c r="C94" i="4" s="1"/>
  <c r="D95" i="4"/>
  <c r="J65" i="8"/>
  <c r="J26" i="7"/>
  <c r="AE108" i="2" a="1"/>
  <c r="AK48" i="2" a="1"/>
  <c r="AI79" i="2" a="1"/>
  <c r="AI108" i="2" a="1"/>
  <c r="AG109" i="2" a="1"/>
  <c r="AI80" i="2" a="1"/>
  <c r="AE79" i="2" a="1"/>
  <c r="AE109" i="2" a="1"/>
  <c r="AI109" i="2" a="1"/>
  <c r="AE80" i="2" a="1"/>
  <c r="AK47" i="2" a="1"/>
  <c r="AG108" i="2" a="1"/>
  <c r="D214" i="4" l="1"/>
  <c r="D215" i="4" s="1"/>
  <c r="J6" i="3"/>
  <c r="V92" i="4"/>
  <c r="T93" i="4"/>
  <c r="U94" i="4"/>
  <c r="S95" i="4"/>
  <c r="U27" i="7"/>
  <c r="U12" i="7"/>
  <c r="AI80" i="2"/>
  <c r="AI79" i="2"/>
  <c r="AI108" i="2"/>
  <c r="AI109" i="2"/>
  <c r="K12" i="2"/>
  <c r="I12" i="2"/>
  <c r="G268" i="4"/>
  <c r="H268" i="4"/>
  <c r="C214" i="4" a="1"/>
  <c r="C214" i="4" s="1"/>
  <c r="AE79" i="2"/>
  <c r="AE80" i="2"/>
  <c r="Q12" i="7"/>
  <c r="E78" i="8"/>
  <c r="C155" i="4" a="1"/>
  <c r="C155" i="4" s="1"/>
  <c r="D156" i="4"/>
  <c r="G154" i="4"/>
  <c r="G26" i="2"/>
  <c r="AE109" i="2"/>
  <c r="AE108" i="2"/>
  <c r="G213" i="4"/>
  <c r="E90" i="8"/>
  <c r="Q27" i="7"/>
  <c r="K103" i="8"/>
  <c r="D7" i="3"/>
  <c r="N11" i="3" s="1"/>
  <c r="AK48" i="2"/>
  <c r="AK47" i="2"/>
  <c r="AG109" i="2"/>
  <c r="AG108" i="2"/>
  <c r="C95" i="4" a="1"/>
  <c r="C95" i="4" s="1"/>
  <c r="J12" i="2" s="1"/>
  <c r="D96" i="4"/>
  <c r="G94" i="4"/>
  <c r="E12" i="2"/>
  <c r="C215" i="4" a="1"/>
  <c r="C215" i="4" s="1"/>
  <c r="D216" i="4"/>
  <c r="K65" i="8"/>
  <c r="K26" i="7"/>
  <c r="C269" i="4" a="1"/>
  <c r="C269" i="4" s="1"/>
  <c r="D270" i="4"/>
  <c r="S27" i="7"/>
  <c r="G90" i="8"/>
  <c r="AI50" i="2" a="1"/>
  <c r="AH49" i="2" a="1"/>
  <c r="AD50" i="2" a="1"/>
  <c r="AF79" i="2" a="1"/>
  <c r="AH50" i="2" a="1"/>
  <c r="AD49" i="2" a="1"/>
  <c r="AF80" i="2" a="1"/>
  <c r="AJ50" i="2" a="1"/>
  <c r="AI49" i="2" a="1"/>
  <c r="AJ49" i="2" a="1"/>
  <c r="V93" i="4" l="1"/>
  <c r="T94" i="4"/>
  <c r="J103" i="8"/>
  <c r="T10" i="3"/>
  <c r="U95" i="4"/>
  <c r="S96" i="4"/>
  <c r="L12" i="2"/>
  <c r="K27" i="7" s="1"/>
  <c r="AI49" i="2"/>
  <c r="AI50" i="2"/>
  <c r="AH50" i="2"/>
  <c r="AH49" i="2"/>
  <c r="AJ50" i="2"/>
  <c r="AJ49" i="2"/>
  <c r="G214" i="4"/>
  <c r="G41" i="2"/>
  <c r="H41" i="2"/>
  <c r="I27" i="7"/>
  <c r="I66" i="8"/>
  <c r="H66" i="8"/>
  <c r="H27" i="7"/>
  <c r="J66" i="8"/>
  <c r="J27" i="7"/>
  <c r="G269" i="4"/>
  <c r="H269" i="4"/>
  <c r="I41" i="2"/>
  <c r="H91" i="8" s="1"/>
  <c r="AF79" i="2"/>
  <c r="AF80" i="2"/>
  <c r="F78" i="8"/>
  <c r="R12" i="7"/>
  <c r="C156" i="4" a="1"/>
  <c r="C156" i="4" s="1"/>
  <c r="D157" i="4"/>
  <c r="G155" i="4"/>
  <c r="H26" i="2"/>
  <c r="D104" i="8"/>
  <c r="E7" i="3"/>
  <c r="O11" i="3" s="1"/>
  <c r="AD50" i="2"/>
  <c r="AD49" i="2"/>
  <c r="G95" i="4"/>
  <c r="F12" i="2"/>
  <c r="C216" i="4" a="1"/>
  <c r="C216" i="4" s="1"/>
  <c r="E41" i="2" s="1"/>
  <c r="D217" i="4"/>
  <c r="G215" i="4"/>
  <c r="J41" i="2"/>
  <c r="C270" i="4" a="1"/>
  <c r="C270" i="4" s="1"/>
  <c r="D271" i="4"/>
  <c r="D66" i="8"/>
  <c r="D27" i="7"/>
  <c r="C96" i="4" a="1"/>
  <c r="C96" i="4" s="1"/>
  <c r="D97" i="4"/>
  <c r="AF110" i="2" a="1"/>
  <c r="AG80" i="2" a="1"/>
  <c r="AI111" i="2" a="1"/>
  <c r="AK50" i="2" a="1"/>
  <c r="AH111" i="2" a="1"/>
  <c r="AD110" i="2" a="1"/>
  <c r="AD111" i="2" a="1"/>
  <c r="AH110" i="2" a="1"/>
  <c r="AF111" i="2" a="1"/>
  <c r="AI110" i="2" a="1"/>
  <c r="AE50" i="2" a="1"/>
  <c r="AK49" i="2" a="1"/>
  <c r="AG79" i="2" a="1"/>
  <c r="AE49" i="2" a="1"/>
  <c r="AG111" i="2" a="1"/>
  <c r="AG110" i="2" a="1"/>
  <c r="V94" i="4" l="1"/>
  <c r="T95" i="4"/>
  <c r="U96" i="4"/>
  <c r="S97" i="4"/>
  <c r="K66" i="8"/>
  <c r="AK50" i="2"/>
  <c r="AK49" i="2"/>
  <c r="AG110" i="2"/>
  <c r="AG111" i="2"/>
  <c r="AD111" i="2"/>
  <c r="AD110" i="2"/>
  <c r="AF111" i="2"/>
  <c r="AF110" i="2"/>
  <c r="G27" i="2"/>
  <c r="G91" i="8"/>
  <c r="S28" i="7"/>
  <c r="D91" i="8"/>
  <c r="P28" i="7"/>
  <c r="R28" i="7"/>
  <c r="F91" i="8"/>
  <c r="G270" i="4"/>
  <c r="H270" i="4"/>
  <c r="T28" i="7"/>
  <c r="AH111" i="2"/>
  <c r="AH110" i="2"/>
  <c r="AG79" i="2"/>
  <c r="AG80" i="2"/>
  <c r="S12" i="7"/>
  <c r="G78" i="8"/>
  <c r="G156" i="4"/>
  <c r="I27" i="2"/>
  <c r="C157" i="4" a="1"/>
  <c r="C157" i="4" s="1"/>
  <c r="H27" i="2" s="1"/>
  <c r="D158" i="4"/>
  <c r="E104" i="8"/>
  <c r="F7" i="3"/>
  <c r="P11" i="3" s="1"/>
  <c r="AI110" i="2"/>
  <c r="AI111" i="2"/>
  <c r="AE50" i="2"/>
  <c r="AE49" i="2"/>
  <c r="I91" i="8"/>
  <c r="U28" i="7"/>
  <c r="E27" i="7"/>
  <c r="E66" i="8"/>
  <c r="G96" i="4"/>
  <c r="G12" i="2"/>
  <c r="C97" i="4" a="1"/>
  <c r="C97" i="4" s="1"/>
  <c r="D98" i="4"/>
  <c r="C271" i="4" a="1"/>
  <c r="C271" i="4" s="1"/>
  <c r="D272" i="4"/>
  <c r="C217" i="4" a="1"/>
  <c r="C217" i="4" s="1"/>
  <c r="F41" i="2" s="1"/>
  <c r="D218" i="4"/>
  <c r="G216" i="4"/>
  <c r="K41" i="2"/>
  <c r="AF49" i="2" a="1"/>
  <c r="AH81" i="2" a="1"/>
  <c r="AF81" i="2" a="1"/>
  <c r="AE110" i="2" a="1"/>
  <c r="AG81" i="2" a="1"/>
  <c r="AJ111" i="2" a="1"/>
  <c r="AG82" i="2" a="1"/>
  <c r="AF50" i="2" a="1"/>
  <c r="AE111" i="2" a="1"/>
  <c r="AH82" i="2" a="1"/>
  <c r="AF82" i="2" a="1"/>
  <c r="AJ110" i="2" a="1"/>
  <c r="V95" i="4" l="1"/>
  <c r="T96" i="4"/>
  <c r="U97" i="4"/>
  <c r="S98" i="4"/>
  <c r="AE110" i="2"/>
  <c r="AE111" i="2"/>
  <c r="Q28" i="7"/>
  <c r="E91" i="8"/>
  <c r="AG82" i="2"/>
  <c r="AG81" i="2"/>
  <c r="AF82" i="2"/>
  <c r="AF81" i="2"/>
  <c r="G79" i="8"/>
  <c r="S13" i="7"/>
  <c r="F79" i="8"/>
  <c r="R13" i="7"/>
  <c r="G271" i="4"/>
  <c r="H271" i="4"/>
  <c r="AH82" i="2"/>
  <c r="AH81" i="2"/>
  <c r="J27" i="2"/>
  <c r="G157" i="4"/>
  <c r="H79" i="8"/>
  <c r="T13" i="7"/>
  <c r="C158" i="4" a="1"/>
  <c r="C158" i="4" s="1"/>
  <c r="E27" i="2" s="1"/>
  <c r="D79" i="8" s="1"/>
  <c r="D159" i="4"/>
  <c r="F104" i="8"/>
  <c r="G7" i="3"/>
  <c r="Q11" i="3" s="1"/>
  <c r="AF49" i="2"/>
  <c r="AF50" i="2"/>
  <c r="AJ111" i="2"/>
  <c r="AJ110" i="2"/>
  <c r="C218" i="4" a="1"/>
  <c r="C218" i="4" s="1"/>
  <c r="D219" i="4"/>
  <c r="G217" i="4"/>
  <c r="L41" i="2"/>
  <c r="G97" i="4"/>
  <c r="H12" i="2"/>
  <c r="C272" i="4" a="1"/>
  <c r="C272" i="4" s="1"/>
  <c r="D273" i="4"/>
  <c r="F66" i="8"/>
  <c r="F27" i="7"/>
  <c r="C98" i="4" a="1"/>
  <c r="C98" i="4" s="1"/>
  <c r="D99" i="4"/>
  <c r="V28" i="7"/>
  <c r="J91" i="8"/>
  <c r="AK111" i="2" a="1"/>
  <c r="AD81" i="2" a="1"/>
  <c r="AI81" i="2" a="1"/>
  <c r="AG49" i="2" a="1"/>
  <c r="AD82" i="2" a="1"/>
  <c r="AI82" i="2" a="1"/>
  <c r="AG50" i="2" a="1"/>
  <c r="AK110" i="2" a="1"/>
  <c r="V96" i="4" l="1"/>
  <c r="T97" i="4"/>
  <c r="U98" i="4"/>
  <c r="S99" i="4"/>
  <c r="AD82" i="2"/>
  <c r="AD81" i="2"/>
  <c r="P13" i="7"/>
  <c r="G13" i="2"/>
  <c r="K42" i="2"/>
  <c r="I42" i="2"/>
  <c r="G272" i="4"/>
  <c r="H272" i="4"/>
  <c r="AI82" i="2"/>
  <c r="AI81" i="2"/>
  <c r="K27" i="2"/>
  <c r="G158" i="4"/>
  <c r="U13" i="7"/>
  <c r="I79" i="8"/>
  <c r="D160" i="4"/>
  <c r="C160" i="4" s="1" a="1"/>
  <c r="C160" i="4" s="1"/>
  <c r="C159" i="4" a="1"/>
  <c r="C159" i="4" s="1"/>
  <c r="F27" i="2" s="1"/>
  <c r="Q13" i="7" s="1"/>
  <c r="H7" i="3"/>
  <c r="R11" i="3" s="1"/>
  <c r="G104" i="8"/>
  <c r="AK110" i="2"/>
  <c r="AK111" i="2"/>
  <c r="AG50" i="2"/>
  <c r="AG49" i="2"/>
  <c r="I13" i="2"/>
  <c r="G98" i="4"/>
  <c r="G218" i="4"/>
  <c r="E42" i="2"/>
  <c r="C99" i="4" a="1"/>
  <c r="C99" i="4" s="1"/>
  <c r="D100" i="4"/>
  <c r="K91" i="8"/>
  <c r="W28" i="7"/>
  <c r="G27" i="7"/>
  <c r="G66" i="8"/>
  <c r="C273" i="4" a="1"/>
  <c r="C273" i="4" s="1"/>
  <c r="D274" i="4"/>
  <c r="C219" i="4" a="1"/>
  <c r="C219" i="4" s="1"/>
  <c r="L42" i="2" s="1"/>
  <c r="D220" i="4"/>
  <c r="AK112" i="2" a="1"/>
  <c r="AD112" i="2" a="1"/>
  <c r="AH52" i="2" a="1"/>
  <c r="AE81" i="2" a="1"/>
  <c r="AH113" i="2" a="1"/>
  <c r="AJ82" i="2" a="1"/>
  <c r="AE82" i="2" a="1"/>
  <c r="AF52" i="2" a="1"/>
  <c r="AD113" i="2" a="1"/>
  <c r="AJ81" i="2" a="1"/>
  <c r="AH112" i="2" a="1"/>
  <c r="AJ112" i="2" a="1"/>
  <c r="AH51" i="2" a="1"/>
  <c r="AF51" i="2" a="1"/>
  <c r="AK113" i="2" a="1"/>
  <c r="AJ113" i="2" a="1"/>
  <c r="V97" i="4" l="1"/>
  <c r="T98" i="4"/>
  <c r="U99" i="4"/>
  <c r="S100" i="4"/>
  <c r="AE81" i="2"/>
  <c r="AE82" i="2"/>
  <c r="E79" i="8"/>
  <c r="J42" i="2"/>
  <c r="U29" i="7" s="1"/>
  <c r="H13" i="2"/>
  <c r="G28" i="7" s="1"/>
  <c r="AK112" i="2"/>
  <c r="AK113" i="2"/>
  <c r="AJ113" i="2"/>
  <c r="AJ112" i="2"/>
  <c r="AH112" i="2"/>
  <c r="AH113" i="2"/>
  <c r="AF52" i="2"/>
  <c r="AF51" i="2"/>
  <c r="K92" i="8"/>
  <c r="W29" i="7"/>
  <c r="J92" i="8"/>
  <c r="V29" i="7"/>
  <c r="H92" i="8"/>
  <c r="T29" i="7"/>
  <c r="F67" i="8"/>
  <c r="F28" i="7"/>
  <c r="G160" i="4"/>
  <c r="K28" i="2"/>
  <c r="I28" i="2"/>
  <c r="G273" i="4"/>
  <c r="H273" i="4"/>
  <c r="E28" i="2"/>
  <c r="P14" i="7" s="1"/>
  <c r="AJ82" i="2"/>
  <c r="AJ81" i="2"/>
  <c r="G159" i="4"/>
  <c r="L27" i="2"/>
  <c r="J79" i="8"/>
  <c r="V13" i="7"/>
  <c r="D161" i="4"/>
  <c r="H104" i="8"/>
  <c r="AH51" i="2"/>
  <c r="AH52" i="2"/>
  <c r="AD113" i="2"/>
  <c r="AD112" i="2"/>
  <c r="H67" i="8"/>
  <c r="H28" i="7"/>
  <c r="C220" i="4" a="1"/>
  <c r="C220" i="4" s="1"/>
  <c r="D221" i="4"/>
  <c r="C100" i="4" a="1"/>
  <c r="C100" i="4" s="1"/>
  <c r="E13" i="2" s="1"/>
  <c r="D67" i="8" s="1"/>
  <c r="D101" i="4"/>
  <c r="G99" i="4"/>
  <c r="J13" i="2"/>
  <c r="G219" i="4"/>
  <c r="F42" i="2"/>
  <c r="C274" i="4" a="1"/>
  <c r="C274" i="4" s="1"/>
  <c r="D275" i="4"/>
  <c r="D92" i="8"/>
  <c r="P29" i="7"/>
  <c r="AH84" i="2" a="1"/>
  <c r="AI112" i="2" a="1"/>
  <c r="AG51" i="2" a="1"/>
  <c r="AI51" i="2" a="1"/>
  <c r="AG52" i="2" a="1"/>
  <c r="AJ84" i="2" a="1"/>
  <c r="AJ83" i="2" a="1"/>
  <c r="AD84" i="2" a="1"/>
  <c r="AE112" i="2" a="1"/>
  <c r="AD51" i="2" a="1"/>
  <c r="AD52" i="2" a="1"/>
  <c r="AH83" i="2" a="1"/>
  <c r="AK81" i="2" a="1"/>
  <c r="AE113" i="2" a="1"/>
  <c r="AI113" i="2" a="1"/>
  <c r="AD83" i="2" a="1"/>
  <c r="AI52" i="2" a="1"/>
  <c r="AK82" i="2" a="1"/>
  <c r="V98" i="4" l="1"/>
  <c r="T99" i="4"/>
  <c r="U100" i="4"/>
  <c r="S101" i="4"/>
  <c r="AD52" i="2"/>
  <c r="AD51" i="2"/>
  <c r="D28" i="7"/>
  <c r="G67" i="8"/>
  <c r="I92" i="8"/>
  <c r="AG51" i="2"/>
  <c r="AG52" i="2"/>
  <c r="AI113" i="2"/>
  <c r="AI112" i="2"/>
  <c r="AJ83" i="2"/>
  <c r="AJ84" i="2"/>
  <c r="AH84" i="2"/>
  <c r="AH83" i="2"/>
  <c r="J80" i="8"/>
  <c r="V14" i="7"/>
  <c r="T14" i="7"/>
  <c r="H80" i="8"/>
  <c r="H274" i="4"/>
  <c r="G274" i="4"/>
  <c r="AD84" i="2"/>
  <c r="AD83" i="2"/>
  <c r="D80" i="8"/>
  <c r="AK81" i="2"/>
  <c r="AK82" i="2"/>
  <c r="C161" i="4" a="1"/>
  <c r="C161" i="4" s="1"/>
  <c r="D162" i="4"/>
  <c r="W13" i="7"/>
  <c r="K79" i="8"/>
  <c r="AI52" i="2"/>
  <c r="AI51" i="2"/>
  <c r="AE112" i="2"/>
  <c r="AE113" i="2"/>
  <c r="G220" i="4"/>
  <c r="G42" i="2"/>
  <c r="C101" i="4" a="1"/>
  <c r="C101" i="4" s="1"/>
  <c r="F13" i="2" s="1"/>
  <c r="D102" i="4"/>
  <c r="G100" i="4"/>
  <c r="K13" i="2"/>
  <c r="C221" i="4" a="1"/>
  <c r="C221" i="4" s="1"/>
  <c r="D222" i="4"/>
  <c r="I67" i="8"/>
  <c r="I28" i="7"/>
  <c r="C275" i="4" a="1"/>
  <c r="C275" i="4" s="1"/>
  <c r="D276" i="4"/>
  <c r="E92" i="8"/>
  <c r="Q29" i="7"/>
  <c r="AJ51" i="2" a="1"/>
  <c r="AJ52" i="2" a="1"/>
  <c r="AE51" i="2" a="1"/>
  <c r="AF113" i="2" a="1"/>
  <c r="AF112" i="2" a="1"/>
  <c r="AE52" i="2" a="1"/>
  <c r="V99" i="4" l="1"/>
  <c r="T100" i="4"/>
  <c r="U101" i="4"/>
  <c r="S102" i="4"/>
  <c r="AE52" i="2"/>
  <c r="AE51" i="2"/>
  <c r="E67" i="8"/>
  <c r="E28" i="7"/>
  <c r="J28" i="2"/>
  <c r="L28" i="2"/>
  <c r="G275" i="4"/>
  <c r="H275" i="4"/>
  <c r="C162" i="4" a="1"/>
  <c r="C162" i="4" s="1"/>
  <c r="D163" i="4"/>
  <c r="F28" i="2"/>
  <c r="G161" i="4"/>
  <c r="I7" i="3"/>
  <c r="S11" i="3" s="1"/>
  <c r="AF113" i="2"/>
  <c r="AF112" i="2"/>
  <c r="AJ52" i="2"/>
  <c r="AJ51" i="2"/>
  <c r="L13" i="2"/>
  <c r="G101" i="4"/>
  <c r="F92" i="8"/>
  <c r="R29" i="7"/>
  <c r="C276" i="4" a="1"/>
  <c r="C276" i="4" s="1"/>
  <c r="D277" i="4"/>
  <c r="C222" i="4" a="1"/>
  <c r="C222" i="4" s="1"/>
  <c r="D223" i="4"/>
  <c r="G221" i="4"/>
  <c r="H42" i="2"/>
  <c r="J28" i="7"/>
  <c r="J67" i="8"/>
  <c r="C102" i="4" a="1"/>
  <c r="C102" i="4" s="1"/>
  <c r="D103" i="4"/>
  <c r="AG113" i="2" a="1"/>
  <c r="AG112" i="2" a="1"/>
  <c r="AE83" i="2" a="1"/>
  <c r="AK52" i="2" a="1"/>
  <c r="AI84" i="2" a="1"/>
  <c r="AE84" i="2" a="1"/>
  <c r="AK84" i="2" a="1"/>
  <c r="AK51" i="2" a="1"/>
  <c r="AK83" i="2" a="1"/>
  <c r="AI83" i="2" a="1"/>
  <c r="J7" i="3" l="1"/>
  <c r="T101" i="4"/>
  <c r="V100" i="4"/>
  <c r="U102" i="4"/>
  <c r="S103" i="4"/>
  <c r="AK83" i="2"/>
  <c r="AK84" i="2"/>
  <c r="AI83" i="2"/>
  <c r="AI84" i="2"/>
  <c r="W14" i="7"/>
  <c r="K80" i="8"/>
  <c r="U14" i="7"/>
  <c r="I80" i="8"/>
  <c r="G43" i="2"/>
  <c r="K14" i="2"/>
  <c r="I14" i="2"/>
  <c r="G276" i="4"/>
  <c r="H276" i="4"/>
  <c r="AE83" i="2"/>
  <c r="AE84" i="2"/>
  <c r="Q14" i="7"/>
  <c r="E80" i="8"/>
  <c r="C163" i="4" a="1"/>
  <c r="C163" i="4" s="1"/>
  <c r="D164" i="4"/>
  <c r="G28" i="2"/>
  <c r="G162" i="4"/>
  <c r="K104" i="8"/>
  <c r="I104" i="8"/>
  <c r="D8" i="3"/>
  <c r="N13" i="3" s="1"/>
  <c r="AK52" i="2"/>
  <c r="AK51" i="2"/>
  <c r="AG112" i="2"/>
  <c r="AG113" i="2"/>
  <c r="C223" i="4" a="1"/>
  <c r="C223" i="4" s="1"/>
  <c r="D224" i="4"/>
  <c r="K67" i="8"/>
  <c r="K28" i="7"/>
  <c r="G222" i="4"/>
  <c r="I43" i="2"/>
  <c r="C277" i="4" a="1"/>
  <c r="C277" i="4" s="1"/>
  <c r="D278" i="4"/>
  <c r="C103" i="4" a="1"/>
  <c r="C103" i="4" s="1"/>
  <c r="J14" i="2" s="1"/>
  <c r="D104" i="4"/>
  <c r="G102" i="4"/>
  <c r="E14" i="2"/>
  <c r="G92" i="8"/>
  <c r="S29" i="7"/>
  <c r="AI53" i="2" a="1"/>
  <c r="AF83" i="2" a="1"/>
  <c r="AD53" i="2" a="1"/>
  <c r="AJ54" i="2" a="1"/>
  <c r="AI54" i="2" a="1"/>
  <c r="AH53" i="2" a="1"/>
  <c r="AF114" i="2" a="1"/>
  <c r="AJ53" i="2" a="1"/>
  <c r="AF84" i="2" a="1"/>
  <c r="AH54" i="2" a="1"/>
  <c r="AD54" i="2" a="1"/>
  <c r="AF115" i="2" a="1"/>
  <c r="AH115" i="2" a="1"/>
  <c r="AH114" i="2" a="1"/>
  <c r="T102" i="4" l="1"/>
  <c r="V101" i="4"/>
  <c r="T11" i="3"/>
  <c r="J104" i="8"/>
  <c r="U103" i="4"/>
  <c r="S104" i="4"/>
  <c r="L14" i="2"/>
  <c r="K29" i="7" s="1"/>
  <c r="H43" i="2"/>
  <c r="G93" i="8" s="1"/>
  <c r="AH54" i="2"/>
  <c r="AH53" i="2"/>
  <c r="AJ54" i="2"/>
  <c r="AJ53" i="2"/>
  <c r="AI53" i="2"/>
  <c r="AI54" i="2"/>
  <c r="AF114" i="2"/>
  <c r="AF115" i="2"/>
  <c r="H29" i="7"/>
  <c r="H68" i="8"/>
  <c r="J29" i="7"/>
  <c r="J68" i="8"/>
  <c r="I29" i="7"/>
  <c r="I68" i="8"/>
  <c r="F93" i="8"/>
  <c r="R30" i="7"/>
  <c r="G277" i="4"/>
  <c r="H277" i="4"/>
  <c r="AF84" i="2"/>
  <c r="AF83" i="2"/>
  <c r="R14" i="7"/>
  <c r="F80" i="8"/>
  <c r="C164" i="4" a="1"/>
  <c r="C164" i="4" s="1"/>
  <c r="D165" i="4"/>
  <c r="G163" i="4"/>
  <c r="H28" i="2"/>
  <c r="D105" i="8"/>
  <c r="E8" i="3"/>
  <c r="O13" i="3" s="1"/>
  <c r="AH115" i="2"/>
  <c r="AH114" i="2"/>
  <c r="AD53" i="2"/>
  <c r="AD54" i="2"/>
  <c r="C104" i="4" a="1"/>
  <c r="C104" i="4" s="1"/>
  <c r="D105" i="4"/>
  <c r="T30" i="7"/>
  <c r="H93" i="8"/>
  <c r="D29" i="7"/>
  <c r="D68" i="8"/>
  <c r="C278" i="4" a="1"/>
  <c r="C278" i="4" s="1"/>
  <c r="D279" i="4"/>
  <c r="G103" i="4"/>
  <c r="F14" i="2"/>
  <c r="C224" i="4" a="1"/>
  <c r="C224" i="4" s="1"/>
  <c r="E43" i="2" s="1"/>
  <c r="D225" i="4"/>
  <c r="C225" i="4" s="1" a="1"/>
  <c r="C225" i="4" s="1"/>
  <c r="F43" i="2" s="1"/>
  <c r="G223" i="4"/>
  <c r="J43" i="2"/>
  <c r="AG83" i="2" a="1"/>
  <c r="AE54" i="2" a="1"/>
  <c r="AI115" i="2" a="1"/>
  <c r="AK53" i="2" a="1"/>
  <c r="AG115" i="2" a="1"/>
  <c r="AD115" i="2" a="1"/>
  <c r="AE53" i="2" a="1"/>
  <c r="AK54" i="2" a="1"/>
  <c r="AE115" i="2" a="1"/>
  <c r="AG114" i="2" a="1"/>
  <c r="AI114" i="2" a="1"/>
  <c r="AD114" i="2" a="1"/>
  <c r="AE114" i="2" a="1"/>
  <c r="AG84" i="2" a="1"/>
  <c r="T103" i="4" l="1"/>
  <c r="V102" i="4"/>
  <c r="U104" i="4"/>
  <c r="S105" i="4"/>
  <c r="AE114" i="2"/>
  <c r="AE115" i="2"/>
  <c r="Q30" i="7"/>
  <c r="E93" i="8"/>
  <c r="AD114" i="2"/>
  <c r="AD115" i="2"/>
  <c r="D93" i="8"/>
  <c r="P30" i="7"/>
  <c r="S30" i="7"/>
  <c r="K68" i="8"/>
  <c r="AG114" i="2"/>
  <c r="AG115" i="2"/>
  <c r="AK54" i="2"/>
  <c r="AK53" i="2"/>
  <c r="G29" i="2"/>
  <c r="H278" i="4"/>
  <c r="G278" i="4"/>
  <c r="AG83" i="2"/>
  <c r="AG84" i="2"/>
  <c r="D166" i="4"/>
  <c r="C165" i="4" a="1"/>
  <c r="C165" i="4" s="1"/>
  <c r="H29" i="2" s="1"/>
  <c r="G164" i="4"/>
  <c r="I29" i="2"/>
  <c r="S14" i="7"/>
  <c r="G80" i="8"/>
  <c r="F8" i="3"/>
  <c r="P13" i="3" s="1"/>
  <c r="E105" i="8"/>
  <c r="AI115" i="2"/>
  <c r="AI114" i="2"/>
  <c r="AE54" i="2"/>
  <c r="AE53" i="2"/>
  <c r="G224" i="4"/>
  <c r="K43" i="2"/>
  <c r="I93" i="8"/>
  <c r="U30" i="7"/>
  <c r="E29" i="7"/>
  <c r="E68" i="8"/>
  <c r="C105" i="4" a="1"/>
  <c r="C105" i="4" s="1"/>
  <c r="D106" i="4"/>
  <c r="G104" i="4"/>
  <c r="G14" i="2"/>
  <c r="G225" i="4"/>
  <c r="L43" i="2"/>
  <c r="C279" i="4" a="1"/>
  <c r="C279" i="4" s="1"/>
  <c r="D280" i="4"/>
  <c r="AJ114" i="2" a="1"/>
  <c r="AG86" i="2" a="1"/>
  <c r="AF86" i="2" a="1"/>
  <c r="AH85" i="2" a="1"/>
  <c r="AF85" i="2" a="1"/>
  <c r="AK115" i="2" a="1"/>
  <c r="AF53" i="2" a="1"/>
  <c r="AJ115" i="2" a="1"/>
  <c r="AK114" i="2" a="1"/>
  <c r="AH86" i="2" a="1"/>
  <c r="AF54" i="2" a="1"/>
  <c r="AG85" i="2" a="1"/>
  <c r="V103" i="4" l="1"/>
  <c r="T104" i="4"/>
  <c r="U105" i="4"/>
  <c r="S106" i="4"/>
  <c r="AF85" i="2"/>
  <c r="AF86" i="2"/>
  <c r="AG86" i="2"/>
  <c r="AG85" i="2"/>
  <c r="R15" i="7"/>
  <c r="F81" i="8"/>
  <c r="G81" i="8"/>
  <c r="S15" i="7"/>
  <c r="G279" i="4"/>
  <c r="H279" i="4"/>
  <c r="AH86" i="2"/>
  <c r="AH85" i="2"/>
  <c r="T15" i="7"/>
  <c r="H81" i="8"/>
  <c r="G165" i="4"/>
  <c r="J29" i="2"/>
  <c r="C166" i="4" a="1"/>
  <c r="C166" i="4" s="1"/>
  <c r="E29" i="2" s="1"/>
  <c r="D167" i="4"/>
  <c r="C167" i="4" s="1" a="1"/>
  <c r="C167" i="4" s="1"/>
  <c r="F29" i="2" s="1"/>
  <c r="Q15" i="7" s="1"/>
  <c r="F105" i="8"/>
  <c r="H8" i="3"/>
  <c r="R13" i="3" s="1"/>
  <c r="G8" i="3"/>
  <c r="Q13" i="3" s="1"/>
  <c r="AJ114" i="2"/>
  <c r="AJ115" i="2"/>
  <c r="AK115" i="2"/>
  <c r="AK114" i="2"/>
  <c r="AF53" i="2"/>
  <c r="AF54" i="2"/>
  <c r="V30" i="7"/>
  <c r="J93" i="8"/>
  <c r="C280" i="4" a="1"/>
  <c r="C280" i="4" s="1"/>
  <c r="D281" i="4"/>
  <c r="K93" i="8"/>
  <c r="W30" i="7"/>
  <c r="F29" i="7"/>
  <c r="F68" i="8"/>
  <c r="G105" i="4"/>
  <c r="H14" i="2"/>
  <c r="C106" i="4" a="1"/>
  <c r="C106" i="4" s="1"/>
  <c r="D107" i="4"/>
  <c r="AD86" i="2" a="1"/>
  <c r="AD85" i="2" a="1"/>
  <c r="AE85" i="2" a="1"/>
  <c r="AG53" i="2" a="1"/>
  <c r="AI86" i="2" a="1"/>
  <c r="AI85" i="2" a="1"/>
  <c r="AE86" i="2" a="1"/>
  <c r="AG54" i="2" a="1"/>
  <c r="D9" i="3" l="1"/>
  <c r="V104" i="4"/>
  <c r="T105" i="4"/>
  <c r="U106" i="4"/>
  <c r="S107" i="4"/>
  <c r="AD86" i="2"/>
  <c r="AD85" i="2"/>
  <c r="P15" i="7"/>
  <c r="D81" i="8"/>
  <c r="AE86" i="2"/>
  <c r="AE85" i="2"/>
  <c r="E81" i="8"/>
  <c r="G15" i="2"/>
  <c r="G280" i="4"/>
  <c r="H280" i="4"/>
  <c r="AI86" i="2"/>
  <c r="AI85" i="2"/>
  <c r="G166" i="4"/>
  <c r="K29" i="2"/>
  <c r="I81" i="8"/>
  <c r="U15" i="7"/>
  <c r="L29" i="2"/>
  <c r="G167" i="4"/>
  <c r="G105" i="8"/>
  <c r="H105" i="8"/>
  <c r="I8" i="3"/>
  <c r="S13" i="3" s="1"/>
  <c r="AG53" i="2"/>
  <c r="AG54" i="2"/>
  <c r="G68" i="8"/>
  <c r="G29" i="7"/>
  <c r="C107" i="4" a="1"/>
  <c r="C107" i="4" s="1"/>
  <c r="H15" i="2" s="1"/>
  <c r="D108" i="4"/>
  <c r="I15" i="2"/>
  <c r="G106" i="4"/>
  <c r="C281" i="4" a="1"/>
  <c r="C281" i="4" s="1"/>
  <c r="D282" i="4"/>
  <c r="AF56" i="2" a="1"/>
  <c r="AF55" i="2" a="1"/>
  <c r="AH55" i="2" a="1"/>
  <c r="AG55" i="2" a="1"/>
  <c r="AK86" i="2" a="1"/>
  <c r="AJ86" i="2" a="1"/>
  <c r="AK85" i="2" a="1"/>
  <c r="AJ85" i="2" a="1"/>
  <c r="AG56" i="2" a="1"/>
  <c r="AH56" i="2" a="1"/>
  <c r="V105" i="4" l="1"/>
  <c r="T106" i="4"/>
  <c r="E9" i="3"/>
  <c r="N14" i="3"/>
  <c r="D106" i="8"/>
  <c r="U107" i="4"/>
  <c r="S108" i="4"/>
  <c r="AF56" i="2"/>
  <c r="AF55" i="2"/>
  <c r="AG55" i="2"/>
  <c r="AG56" i="2"/>
  <c r="F30" i="7"/>
  <c r="F69" i="8"/>
  <c r="G30" i="7"/>
  <c r="G69" i="8"/>
  <c r="G281" i="4"/>
  <c r="H281" i="4"/>
  <c r="AK86" i="2"/>
  <c r="AK85" i="2"/>
  <c r="AJ86" i="2"/>
  <c r="AJ85" i="2"/>
  <c r="K81" i="8"/>
  <c r="W15" i="7"/>
  <c r="J81" i="8"/>
  <c r="V15" i="7"/>
  <c r="I105" i="8"/>
  <c r="AH56" i="2"/>
  <c r="AH55" i="2"/>
  <c r="G107" i="4"/>
  <c r="J15" i="2"/>
  <c r="H69" i="8"/>
  <c r="H30" i="7"/>
  <c r="C108" i="4" a="1"/>
  <c r="C108" i="4" s="1"/>
  <c r="E15" i="2" s="1"/>
  <c r="D109" i="4"/>
  <c r="C109" i="4" s="1" a="1"/>
  <c r="C109" i="4" s="1"/>
  <c r="F15" i="2" s="1"/>
  <c r="E69" i="8" s="1"/>
  <c r="C282" i="4" a="1"/>
  <c r="C282" i="4" s="1"/>
  <c r="D283" i="4"/>
  <c r="AD55" i="2" a="1"/>
  <c r="AE56" i="2" a="1"/>
  <c r="AD56" i="2" a="1"/>
  <c r="AI55" i="2" a="1"/>
  <c r="AE55" i="2" a="1"/>
  <c r="AI56" i="2" a="1"/>
  <c r="O14" i="3" l="1"/>
  <c r="E106" i="8"/>
  <c r="F9" i="3"/>
  <c r="T107" i="4"/>
  <c r="V106" i="4"/>
  <c r="U108" i="4"/>
  <c r="S109" i="4"/>
  <c r="AD55" i="2"/>
  <c r="AD56" i="2"/>
  <c r="D30" i="7"/>
  <c r="D69" i="8"/>
  <c r="AE55" i="2"/>
  <c r="AE56" i="2"/>
  <c r="E30" i="7"/>
  <c r="H282" i="4"/>
  <c r="G282" i="4"/>
  <c r="J8" i="3"/>
  <c r="T13" i="3" s="1"/>
  <c r="AI56" i="2"/>
  <c r="AI55" i="2"/>
  <c r="G108" i="4"/>
  <c r="K15" i="2"/>
  <c r="G109" i="4"/>
  <c r="L15" i="2"/>
  <c r="I69" i="8"/>
  <c r="I30" i="7"/>
  <c r="C283" i="4" a="1"/>
  <c r="C283" i="4" s="1"/>
  <c r="L13" i="10" a="1"/>
  <c r="L13" i="10" s="1"/>
  <c r="J13" i="10" a="1"/>
  <c r="J13" i="10" s="1"/>
  <c r="H14" i="10" a="1"/>
  <c r="H14" i="10" s="1"/>
  <c r="F13" i="10" a="1"/>
  <c r="F13" i="10" s="1"/>
  <c r="M13" i="10" a="1"/>
  <c r="M13" i="10" s="1"/>
  <c r="E6" i="10" a="1"/>
  <c r="E6" i="10" s="1"/>
  <c r="Q14" i="10" a="1"/>
  <c r="Q14" i="10" s="1"/>
  <c r="R13" i="10" a="1"/>
  <c r="R13" i="10" s="1"/>
  <c r="J14" i="10" a="1"/>
  <c r="J14" i="10" s="1"/>
  <c r="I13" i="10" a="1"/>
  <c r="I13" i="10" s="1"/>
  <c r="G13" i="10" a="1"/>
  <c r="G13" i="10" s="1"/>
  <c r="N13" i="10" a="1"/>
  <c r="N13" i="10" s="1"/>
  <c r="G14" i="10" a="1"/>
  <c r="G14" i="10" s="1"/>
  <c r="K14" i="10" a="1"/>
  <c r="K14" i="10" s="1"/>
  <c r="M14" i="10" a="1"/>
  <c r="M14" i="10" s="1"/>
  <c r="O14" i="10" a="1"/>
  <c r="O14" i="10" s="1"/>
  <c r="F14" i="10" a="1"/>
  <c r="F14" i="10" s="1"/>
  <c r="S14" i="10" a="1"/>
  <c r="S14" i="10" s="1"/>
  <c r="P5" i="10" a="1"/>
  <c r="P5" i="10" s="1"/>
  <c r="S5" i="10" a="1"/>
  <c r="S5" i="10" s="1"/>
  <c r="Q13" i="10" a="1"/>
  <c r="Q13" i="10" s="1"/>
  <c r="D15" i="10" a="1"/>
  <c r="D15" i="10" s="1"/>
  <c r="F18" i="10" a="1"/>
  <c r="F18" i="10" s="1"/>
  <c r="O13" i="10" a="1"/>
  <c r="O13" i="10" s="1"/>
  <c r="R15" i="10" a="1"/>
  <c r="R15" i="10" s="1"/>
  <c r="I14" i="10" a="1"/>
  <c r="I14" i="10" s="1"/>
  <c r="G15" i="10" a="1"/>
  <c r="G15" i="10" s="1"/>
  <c r="J5" i="10" a="1"/>
  <c r="J5" i="10" s="1"/>
  <c r="N15" i="10" a="1"/>
  <c r="N15" i="10" s="1"/>
  <c r="G16" i="10" a="1"/>
  <c r="G16" i="10" s="1"/>
  <c r="N5" i="10" a="1"/>
  <c r="N5" i="10" s="1"/>
  <c r="K6" i="10" a="1"/>
  <c r="K6" i="10" s="1"/>
  <c r="R14" i="10" a="1"/>
  <c r="R14" i="10" s="1"/>
  <c r="H5" i="10" a="1"/>
  <c r="H5" i="10" s="1"/>
  <c r="S15" i="10" a="1"/>
  <c r="S15" i="10" s="1"/>
  <c r="S6" i="10" a="1"/>
  <c r="S6" i="10" s="1"/>
  <c r="M5" i="10" a="1"/>
  <c r="M5" i="10" s="1"/>
  <c r="M15" i="10" a="1"/>
  <c r="M15" i="10" s="1"/>
  <c r="I15" i="10" a="1"/>
  <c r="I15" i="10" s="1"/>
  <c r="F5" i="10" a="1"/>
  <c r="F5" i="10" s="1"/>
  <c r="P13" i="10" a="1"/>
  <c r="P13" i="10" s="1"/>
  <c r="Q15" i="10" a="1"/>
  <c r="Q15" i="10" s="1"/>
  <c r="L15" i="10" a="1"/>
  <c r="L15" i="10" s="1"/>
  <c r="E5" i="10" a="1"/>
  <c r="E5" i="10" s="1"/>
  <c r="S13" i="10" a="1"/>
  <c r="S13" i="10" s="1"/>
  <c r="K13" i="10" a="1"/>
  <c r="K13" i="10" s="1"/>
  <c r="H13" i="10" a="1"/>
  <c r="H13" i="10" s="1"/>
  <c r="R6" i="10" a="1"/>
  <c r="R6" i="10" s="1"/>
  <c r="P15" i="10" a="1"/>
  <c r="P15" i="10" s="1"/>
  <c r="P14" i="10" a="1"/>
  <c r="P14" i="10" s="1"/>
  <c r="D5" i="10" a="1"/>
  <c r="D5" i="10" s="1"/>
  <c r="F15" i="10" a="1"/>
  <c r="F15" i="10" s="1"/>
  <c r="E15" i="10" a="1"/>
  <c r="E15" i="10" s="1"/>
  <c r="H6" i="10" a="1"/>
  <c r="H6" i="10" s="1"/>
  <c r="K5" i="10" a="1"/>
  <c r="K5" i="10" s="1"/>
  <c r="J15" i="10" a="1"/>
  <c r="J15" i="10" s="1"/>
  <c r="K15" i="10" a="1"/>
  <c r="K15" i="10" s="1"/>
  <c r="I5" i="10" a="1"/>
  <c r="I5" i="10" s="1"/>
  <c r="D13" i="10" a="1"/>
  <c r="D13" i="10" s="1"/>
  <c r="O15" i="10" a="1"/>
  <c r="O15" i="10" s="1"/>
  <c r="O5" i="10" a="1"/>
  <c r="O5" i="10" s="1"/>
  <c r="E16" i="10" a="1"/>
  <c r="E16" i="10" s="1"/>
  <c r="E13" i="10" a="1"/>
  <c r="E13" i="10" s="1"/>
  <c r="R16" i="10" a="1"/>
  <c r="R16" i="10" s="1"/>
  <c r="L5" i="10" a="1"/>
  <c r="L5" i="10" s="1"/>
  <c r="O6" i="10" a="1"/>
  <c r="O6" i="10" s="1"/>
  <c r="M16" i="10" a="1"/>
  <c r="M16" i="10" s="1"/>
  <c r="N16" i="10" a="1"/>
  <c r="N16" i="10" s="1"/>
  <c r="R5" i="10" a="1"/>
  <c r="R5" i="10" s="1"/>
  <c r="Q5" i="10" a="1"/>
  <c r="Q5" i="10" s="1"/>
  <c r="F16" i="10" a="1"/>
  <c r="F16" i="10" s="1"/>
  <c r="M6" i="10" a="1"/>
  <c r="M6" i="10" s="1"/>
  <c r="D6" i="10" a="1"/>
  <c r="D6" i="10" s="1"/>
  <c r="J7" i="10" a="1"/>
  <c r="J7" i="10" s="1"/>
  <c r="P16" i="10" a="1"/>
  <c r="P16" i="10" s="1"/>
  <c r="Q16" i="10" a="1"/>
  <c r="Q16" i="10" s="1"/>
  <c r="L7" i="10" a="1"/>
  <c r="L7" i="10" s="1"/>
  <c r="D7" i="10" a="1"/>
  <c r="D7" i="10" s="1"/>
  <c r="L6" i="10" a="1"/>
  <c r="L6" i="10" s="1"/>
  <c r="O16" i="10" a="1"/>
  <c r="O16" i="10" s="1"/>
  <c r="I16" i="10" a="1"/>
  <c r="I16" i="10" s="1"/>
  <c r="F6" i="10" a="1"/>
  <c r="F6" i="10" s="1"/>
  <c r="O7" i="10" a="1"/>
  <c r="O7" i="10" s="1"/>
  <c r="P7" i="10" a="1"/>
  <c r="P7" i="10" s="1"/>
  <c r="N6" i="10" a="1"/>
  <c r="N6" i="10" s="1"/>
  <c r="I6" i="10" a="1"/>
  <c r="I6" i="10" s="1"/>
  <c r="M7" i="10" a="1"/>
  <c r="M7" i="10" s="1"/>
  <c r="G5" i="10" a="1"/>
  <c r="G5" i="10" s="1"/>
  <c r="K18" i="10" a="1"/>
  <c r="K18" i="10" s="1"/>
  <c r="J16" i="10" a="1"/>
  <c r="J16" i="10" s="1"/>
  <c r="G7" i="10" a="1"/>
  <c r="G7" i="10" s="1"/>
  <c r="N7" i="10" a="1"/>
  <c r="N7" i="10" s="1"/>
  <c r="L16" i="10" a="1"/>
  <c r="L16" i="10" s="1"/>
  <c r="Q7" i="10" a="1"/>
  <c r="Q7" i="10" s="1"/>
  <c r="K17" i="10" a="1"/>
  <c r="K17" i="10" s="1"/>
  <c r="G6" i="10" a="1"/>
  <c r="G6" i="10" s="1"/>
  <c r="Q6" i="10" a="1"/>
  <c r="Q6" i="10" s="1"/>
  <c r="H15" i="10" a="1"/>
  <c r="H15" i="10" s="1"/>
  <c r="H16" i="10" a="1"/>
  <c r="H16" i="10" s="1"/>
  <c r="L17" i="10" a="1"/>
  <c r="L17" i="10" s="1"/>
  <c r="S16" i="10" a="1"/>
  <c r="S16" i="10" s="1"/>
  <c r="I7" i="10" a="1"/>
  <c r="I7" i="10" s="1"/>
  <c r="P6" i="10" a="1"/>
  <c r="P6" i="10" s="1"/>
  <c r="E7" i="10" a="1"/>
  <c r="E7" i="10" s="1"/>
  <c r="H18" i="10" a="1"/>
  <c r="H18" i="10" s="1"/>
  <c r="J6" i="10" a="1"/>
  <c r="J6" i="10" s="1"/>
  <c r="H7" i="10" a="1"/>
  <c r="H7" i="10" s="1"/>
  <c r="K7" i="10" a="1"/>
  <c r="K7" i="10" s="1"/>
  <c r="M8" i="10" a="1"/>
  <c r="M8" i="10" s="1"/>
  <c r="K16" i="10" a="1"/>
  <c r="K16" i="10" s="1"/>
  <c r="O18" i="10" a="1"/>
  <c r="O18" i="10" s="1"/>
  <c r="H8" i="10" a="1"/>
  <c r="H8" i="10" s="1"/>
  <c r="D16" i="10" a="1"/>
  <c r="D16" i="10" s="1"/>
  <c r="S7" i="10" a="1"/>
  <c r="S7" i="10" s="1"/>
  <c r="R7" i="10" a="1"/>
  <c r="R7" i="10" s="1"/>
  <c r="J17" i="10" a="1"/>
  <c r="J17" i="10" s="1"/>
  <c r="I17" i="10" a="1"/>
  <c r="I17" i="10" s="1"/>
  <c r="H17" i="10" a="1"/>
  <c r="H17" i="10" s="1"/>
  <c r="N8" i="10" a="1"/>
  <c r="N8" i="10" s="1"/>
  <c r="G18" i="10" a="1"/>
  <c r="G18" i="10" s="1"/>
  <c r="I8" i="10" a="1"/>
  <c r="I8" i="10" s="1"/>
  <c r="R8" i="10" a="1"/>
  <c r="R8" i="10" s="1"/>
  <c r="E18" i="10" a="1"/>
  <c r="E18" i="10" s="1"/>
  <c r="P18" i="10" a="1"/>
  <c r="P18" i="10" s="1"/>
  <c r="Q8" i="10" a="1"/>
  <c r="Q8" i="10" s="1"/>
  <c r="O17" i="10" a="1"/>
  <c r="O17" i="10" s="1"/>
  <c r="M18" i="10" a="1"/>
  <c r="M18" i="10" s="1"/>
  <c r="E8" i="10" a="1"/>
  <c r="E8" i="10" s="1"/>
  <c r="D17" i="10" a="1"/>
  <c r="D17" i="10" s="1"/>
  <c r="G17" i="10" a="1"/>
  <c r="G17" i="10" s="1"/>
  <c r="S17" i="10" a="1"/>
  <c r="S17" i="10" s="1"/>
  <c r="J18" i="10" a="1"/>
  <c r="J18" i="10" s="1"/>
  <c r="F8" i="10" a="1"/>
  <c r="F8" i="10" s="1"/>
  <c r="Q18" i="10" a="1"/>
  <c r="Q18" i="10" s="1"/>
  <c r="F17" i="10" a="1"/>
  <c r="F17" i="10" s="1"/>
  <c r="D18" i="10" a="1"/>
  <c r="D18" i="10" s="1"/>
  <c r="E17" i="10" a="1"/>
  <c r="E17" i="10" s="1"/>
  <c r="L18" i="10" a="1"/>
  <c r="L18" i="10" s="1"/>
  <c r="S18" i="10" a="1"/>
  <c r="S18" i="10" s="1"/>
  <c r="R17" i="10" a="1"/>
  <c r="R17" i="10" s="1"/>
  <c r="P17" i="10" a="1"/>
  <c r="P17" i="10" s="1"/>
  <c r="R18" i="10" a="1"/>
  <c r="R18" i="10" s="1"/>
  <c r="I18" i="10" a="1"/>
  <c r="I18" i="10" s="1"/>
  <c r="M17" i="10" a="1"/>
  <c r="M17" i="10" s="1"/>
  <c r="F7" i="10" a="1"/>
  <c r="F7" i="10" s="1"/>
  <c r="N17" i="10" a="1"/>
  <c r="N17" i="10" s="1"/>
  <c r="Q17" i="10" a="1"/>
  <c r="Q17" i="10" s="1"/>
  <c r="L8" i="10" a="1"/>
  <c r="L8" i="10" s="1"/>
  <c r="P8" i="10" a="1"/>
  <c r="P8" i="10" s="1"/>
  <c r="N18" i="10" a="1"/>
  <c r="N18" i="10" s="1"/>
  <c r="D8" i="10" a="1"/>
  <c r="D8" i="10" s="1"/>
  <c r="S8" i="10" a="1"/>
  <c r="S8" i="10" s="1"/>
  <c r="K8" i="10" a="1"/>
  <c r="K8" i="10" s="1"/>
  <c r="G8" i="10" a="1"/>
  <c r="G8" i="10" s="1"/>
  <c r="J8" i="10" a="1"/>
  <c r="J8" i="10" s="1"/>
  <c r="O8" i="10" a="1"/>
  <c r="O8" i="10" s="1"/>
  <c r="M9" i="10" a="1"/>
  <c r="M9" i="10" s="1"/>
  <c r="P9" i="10" a="1"/>
  <c r="P9" i="10" s="1"/>
  <c r="I9" i="10" a="1"/>
  <c r="I9" i="10" s="1"/>
  <c r="R9" i="10" a="1"/>
  <c r="R9" i="10" s="1"/>
  <c r="H9" i="10" a="1"/>
  <c r="H9" i="10" s="1"/>
  <c r="O9" i="10" a="1"/>
  <c r="O9" i="10" s="1"/>
  <c r="Q9" i="10" a="1"/>
  <c r="Q9" i="10" s="1"/>
  <c r="L9" i="10" a="1"/>
  <c r="L9" i="10" s="1"/>
  <c r="G9" i="10" a="1"/>
  <c r="G9" i="10" s="1"/>
  <c r="F9" i="10" a="1"/>
  <c r="F9" i="10" s="1"/>
  <c r="D9" i="10" a="1"/>
  <c r="D9" i="10" s="1"/>
  <c r="K9" i="10" a="1"/>
  <c r="K9" i="10" s="1"/>
  <c r="E9" i="10" a="1"/>
  <c r="E9" i="10" s="1"/>
  <c r="J9" i="10" a="1"/>
  <c r="J9" i="10" s="1"/>
  <c r="N9" i="10" a="1"/>
  <c r="N9" i="10" s="1"/>
  <c r="S9" i="10" a="1"/>
  <c r="S9" i="10" s="1"/>
  <c r="AJ55" i="2" a="1"/>
  <c r="AK55" i="2" a="1"/>
  <c r="AJ56" i="2" a="1"/>
  <c r="AK56" i="2" a="1"/>
  <c r="V107" i="4" l="1"/>
  <c r="G9" i="3"/>
  <c r="T108" i="4"/>
  <c r="P14" i="3"/>
  <c r="F106" i="8"/>
  <c r="U109" i="4"/>
  <c r="G283" i="4"/>
  <c r="C268" i="6" s="1"/>
  <c r="D268" i="6" s="1"/>
  <c r="H283" i="4"/>
  <c r="J105" i="8"/>
  <c r="AK56" i="2"/>
  <c r="AK55" i="2"/>
  <c r="AJ56" i="2"/>
  <c r="AJ55" i="2"/>
  <c r="K69" i="8"/>
  <c r="K30" i="7"/>
  <c r="J69" i="8"/>
  <c r="J30" i="7"/>
  <c r="N14" i="10" a="1"/>
  <c r="N14" i="10" s="1"/>
  <c r="H9" i="3" l="1"/>
  <c r="V108" i="4"/>
  <c r="T109" i="4"/>
  <c r="J9" i="3" s="1"/>
  <c r="Q14" i="3"/>
  <c r="G106" i="8"/>
  <c r="M163" i="6"/>
  <c r="N163" i="6" s="1"/>
  <c r="M37" i="6"/>
  <c r="N37" i="6" s="1"/>
  <c r="H184" i="6"/>
  <c r="H16" i="6"/>
  <c r="I16" i="6" s="1"/>
  <c r="C100" i="6"/>
  <c r="D100" i="6" s="1"/>
  <c r="R37" i="6"/>
  <c r="S37" i="6" s="1"/>
  <c r="C58" i="6"/>
  <c r="D58" i="6" s="1"/>
  <c r="H37" i="6"/>
  <c r="I37" i="6" s="1"/>
  <c r="H142" i="6"/>
  <c r="I142" i="6" s="1"/>
  <c r="C247" i="6"/>
  <c r="D247" i="6" s="1"/>
  <c r="M247" i="6"/>
  <c r="N247" i="6" s="1"/>
  <c r="M268" i="6"/>
  <c r="N268" i="6" s="1"/>
  <c r="H121" i="6"/>
  <c r="I121" i="6" s="1"/>
  <c r="M205" i="6"/>
  <c r="N205" i="6" s="1"/>
  <c r="C205" i="6"/>
  <c r="D205" i="6" s="1"/>
  <c r="M226" i="6"/>
  <c r="N226" i="6" s="1"/>
  <c r="H289" i="6"/>
  <c r="I289" i="6" s="1"/>
  <c r="H268" i="6"/>
  <c r="I268" i="6" s="1"/>
  <c r="M142" i="6"/>
  <c r="N142" i="6" s="1"/>
  <c r="H247" i="6"/>
  <c r="I247" i="6" s="1"/>
  <c r="R121" i="6"/>
  <c r="S121" i="6" s="1"/>
  <c r="H205" i="6"/>
  <c r="I205" i="6" s="1"/>
  <c r="C163" i="6"/>
  <c r="D163" i="6" s="1"/>
  <c r="M16" i="6"/>
  <c r="N16" i="6" s="1"/>
  <c r="C79" i="6"/>
  <c r="D79" i="6" s="1"/>
  <c r="M121" i="6"/>
  <c r="N121" i="6" s="1"/>
  <c r="M79" i="6"/>
  <c r="N79" i="6" s="1"/>
  <c r="R100" i="6"/>
  <c r="S100" i="6" s="1"/>
  <c r="C289" i="6"/>
  <c r="D289" i="6" s="1"/>
  <c r="C121" i="6"/>
  <c r="D121" i="6" s="1"/>
  <c r="H58" i="6"/>
  <c r="I58" i="6" s="1"/>
  <c r="M100" i="6"/>
  <c r="N100" i="6" s="1"/>
  <c r="H163" i="6"/>
  <c r="I163" i="6" s="1"/>
  <c r="R79" i="6"/>
  <c r="S79" i="6" s="1"/>
  <c r="H79" i="6"/>
  <c r="I79" i="6" s="1"/>
  <c r="R58" i="6"/>
  <c r="S58" i="6" s="1"/>
  <c r="C226" i="6"/>
  <c r="D226" i="6" s="1"/>
  <c r="M289" i="6"/>
  <c r="N289" i="6" s="1"/>
  <c r="C184" i="6"/>
  <c r="D184" i="6" s="1"/>
  <c r="N184" i="6"/>
  <c r="S16" i="6"/>
  <c r="K105" i="8"/>
  <c r="I184" i="6"/>
  <c r="V109" i="4" l="1"/>
  <c r="I9" i="3"/>
  <c r="T14" i="3"/>
  <c r="J106" i="8"/>
  <c r="R14" i="3"/>
  <c r="H106" i="8"/>
  <c r="S14" i="3" l="1"/>
  <c r="I10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<sst xmlns="http://schemas.openxmlformats.org/spreadsheetml/2006/main" count="1147" uniqueCount="256">
  <si>
    <t>מס' הקבוצה</t>
  </si>
  <si>
    <t>שם הקבוצה</t>
  </si>
  <si>
    <t>חדר שיפוט</t>
  </si>
  <si>
    <t>דרוש תרגום</t>
  </si>
  <si>
    <t>#</t>
  </si>
  <si>
    <t>חדרי שיפוט</t>
  </si>
  <si>
    <t>שעת הרצה 1</t>
  </si>
  <si>
    <t>שולחן הרצה 1</t>
  </si>
  <si>
    <t>מס' הרצה 1</t>
  </si>
  <si>
    <t>שעת הרצה 2</t>
  </si>
  <si>
    <t>שולחן הרצה 2</t>
  </si>
  <si>
    <t>מס' הרצה 2</t>
  </si>
  <si>
    <t>שעת הרצה 3</t>
  </si>
  <si>
    <t>שולחן הרצה 3</t>
  </si>
  <si>
    <t>מס' הרצה 3</t>
  </si>
  <si>
    <t>מחזור שעפוט</t>
  </si>
  <si>
    <t>מס' החדר שיפוט</t>
  </si>
  <si>
    <t>שעת שיפוט</t>
  </si>
  <si>
    <t>זמן מינימום בין האירועים</t>
  </si>
  <si>
    <t>תכנית הרצות רשמיות</t>
  </si>
  <si>
    <t>תכנית הרצות ניסיון</t>
  </si>
  <si>
    <t>תכנית חדרי שיפוט</t>
  </si>
  <si>
    <t>התחלה</t>
  </si>
  <si>
    <t>סיום</t>
  </si>
  <si>
    <t>ישוב</t>
  </si>
  <si>
    <t>טקס פתיחה</t>
  </si>
  <si>
    <t>הפסקת צהרים</t>
  </si>
  <si>
    <t>דיון שופטי תחום</t>
  </si>
  <si>
    <t>מספר הקבוצה</t>
  </si>
  <si>
    <t>דיון שופטים כללי - כל השופטים</t>
  </si>
  <si>
    <t>מקצה</t>
  </si>
  <si>
    <t>הפסקה + תדרוך שופטי זירה</t>
  </si>
  <si>
    <t>לוח זמנים למנחה</t>
  </si>
  <si>
    <t xml:space="preserve">תחרות </t>
  </si>
  <si>
    <t>תחרות</t>
  </si>
  <si>
    <t>תחנה</t>
  </si>
  <si>
    <t>שעה</t>
  </si>
  <si>
    <t>בהצלחה לכולכם וזיכרו שב-FIRST כולם מנצחים, ברגע שהשתתפתם, ניצחתם!</t>
  </si>
  <si>
    <t>טקס סיום, חלוקת פרסים ותעודות</t>
  </si>
  <si>
    <t>לוח זמנים זירה - תחרות</t>
  </si>
  <si>
    <t>הפסקה + תדרוך</t>
  </si>
  <si>
    <t>Version Number</t>
  </si>
  <si>
    <t>Block Format</t>
  </si>
  <si>
    <t>Number of Teams</t>
  </si>
  <si>
    <t>Number of Ranking Matches</t>
  </si>
  <si>
    <t>Number of Tables</t>
  </si>
  <si>
    <t>Number of Teams Per Table</t>
  </si>
  <si>
    <t>Number of Simultaneous Tables</t>
  </si>
  <si>
    <t>Table Names</t>
  </si>
  <si>
    <t>Number of Judged Events</t>
  </si>
  <si>
    <t>Number of Event Time Slots</t>
  </si>
  <si>
    <t>Number of Judging Teams</t>
  </si>
  <si>
    <t>Event Name</t>
  </si>
  <si>
    <t>Number of Practice Matches</t>
  </si>
  <si>
    <t>Room Names</t>
  </si>
  <si>
    <t>מס"ד</t>
  </si>
  <si>
    <t>שולחן</t>
  </si>
  <si>
    <t>קבוצה</t>
  </si>
  <si>
    <t>חדר</t>
  </si>
  <si>
    <t>התחלת השיפוט</t>
  </si>
  <si>
    <t>מחזור השיפוט</t>
  </si>
  <si>
    <t>זמן שיפוט לקבוצה</t>
  </si>
  <si>
    <t>מחזור הרצת תרגול</t>
  </si>
  <si>
    <t>התחלת הרצה I</t>
  </si>
  <si>
    <t>התחלת הרצה II</t>
  </si>
  <si>
    <t>התחלת הרצה III</t>
  </si>
  <si>
    <t>הפסקה I</t>
  </si>
  <si>
    <t>הפסקה II</t>
  </si>
  <si>
    <t>הפסקה III</t>
  </si>
  <si>
    <t>מס' חדרי שיפוט</t>
  </si>
  <si>
    <t>Count</t>
  </si>
  <si>
    <t>מס' השולחנות</t>
  </si>
  <si>
    <t>tolerance</t>
  </si>
  <si>
    <t>מס' קבוצות</t>
  </si>
  <si>
    <t>Round</t>
  </si>
  <si>
    <t>הפסקת צהרים שופטים</t>
  </si>
  <si>
    <t>הפסקת קפה שופטים</t>
  </si>
  <si>
    <t>דיונים בתחום שיפוט</t>
  </si>
  <si>
    <t>דיון כללי</t>
  </si>
  <si>
    <t>מס' הקבוצות</t>
  </si>
  <si>
    <t>Practice match</t>
  </si>
  <si>
    <t># of teams</t>
  </si>
  <si>
    <t>Practice round duration</t>
  </si>
  <si>
    <t>Practice start</t>
  </si>
  <si>
    <t>Practice end</t>
  </si>
  <si>
    <t>Round 1 start</t>
  </si>
  <si>
    <t>Round 1 end</t>
  </si>
  <si>
    <t>Round 2 start</t>
  </si>
  <si>
    <t>Round 2 end</t>
  </si>
  <si>
    <t>Round 3 start</t>
  </si>
  <si>
    <t>Round 3 end</t>
  </si>
  <si>
    <t>Judging round duration</t>
  </si>
  <si>
    <t>Judging Rooms</t>
  </si>
  <si>
    <t>Judging Rounds</t>
  </si>
  <si>
    <t>Judging ends</t>
  </si>
  <si>
    <t>התחלת הזירה</t>
  </si>
  <si>
    <t>שם מלא</t>
  </si>
  <si>
    <t>Round matches</t>
  </si>
  <si>
    <t>Official round duration</t>
  </si>
  <si>
    <t>Official round match</t>
  </si>
  <si>
    <t>מחזור הרצה רשמית</t>
  </si>
  <si>
    <t>מס' מקצים בסבב</t>
  </si>
  <si>
    <t>Judges Lunch</t>
  </si>
  <si>
    <t>Deliberation</t>
  </si>
  <si>
    <t>Final Session</t>
  </si>
  <si>
    <t>Closing Ceremony</t>
  </si>
  <si>
    <t>מסד</t>
  </si>
  <si>
    <t>END</t>
  </si>
  <si>
    <t>Break 3</t>
  </si>
  <si>
    <t>תדריך בוקר</t>
  </si>
  <si>
    <t>Start judging</t>
  </si>
  <si>
    <t>טקס סיום</t>
  </si>
  <si>
    <t>מסיבוטיקה</t>
  </si>
  <si>
    <t xml:space="preserve"> טקס פתיחה</t>
  </si>
  <si>
    <t xml:space="preserve"> טקס סיום</t>
  </si>
  <si>
    <t>1 אדום</t>
  </si>
  <si>
    <t>2 אדום</t>
  </si>
  <si>
    <t>3 אדום</t>
  </si>
  <si>
    <t>4 אדום</t>
  </si>
  <si>
    <t>5 אדום</t>
  </si>
  <si>
    <t>6 אדום</t>
  </si>
  <si>
    <t>7 אדום</t>
  </si>
  <si>
    <t>8 אדום</t>
  </si>
  <si>
    <t>Mesibotica</t>
  </si>
  <si>
    <t>השלמת מילוי המחוונים</t>
  </si>
  <si>
    <t>Break 1</t>
  </si>
  <si>
    <t>Break 2</t>
  </si>
  <si>
    <t>Rubrics review</t>
  </si>
  <si>
    <t>Closing Ceremony prep</t>
  </si>
  <si>
    <t>Judges break</t>
  </si>
  <si>
    <t>ארוחת צהרים</t>
  </si>
  <si>
    <t>לוח זמנים חדרי שיפוט                 תחרות</t>
  </si>
  <si>
    <t>1</t>
  </si>
  <si>
    <t>2</t>
  </si>
  <si>
    <t>3</t>
  </si>
  <si>
    <t>4</t>
  </si>
  <si>
    <t>5</t>
  </si>
  <si>
    <t>6</t>
  </si>
  <si>
    <t>7</t>
  </si>
  <si>
    <t>מס' הרצת טורניר</t>
  </si>
  <si>
    <t>מס' הרצת אימון</t>
  </si>
  <si>
    <t>שעת הרצת אימון</t>
  </si>
  <si>
    <t>שעת הרצת טורניר</t>
  </si>
  <si>
    <t>טורניר ידידות</t>
  </si>
  <si>
    <t>שולחן הרצת אימון</t>
  </si>
  <si>
    <t>Friendly tournamernt</t>
  </si>
  <si>
    <t>שולחן הרצת טורניר</t>
  </si>
  <si>
    <t>1R</t>
  </si>
  <si>
    <t>2R</t>
  </si>
  <si>
    <t>3R</t>
  </si>
  <si>
    <t>4R</t>
  </si>
  <si>
    <t>5R</t>
  </si>
  <si>
    <t>6R</t>
  </si>
  <si>
    <t>7R</t>
  </si>
  <si>
    <t>8R</t>
  </si>
  <si>
    <t>טורניר ידידות זירה א'</t>
  </si>
  <si>
    <t>טורניר ידידות זירה ב'</t>
  </si>
  <si>
    <t xml:space="preserve">1 אדום </t>
  </si>
  <si>
    <t xml:space="preserve">2 אדום </t>
  </si>
  <si>
    <t xml:space="preserve">3 אדום </t>
  </si>
  <si>
    <t xml:space="preserve">4 אדום </t>
  </si>
  <si>
    <t>1 כחול</t>
  </si>
  <si>
    <t>2 כחול</t>
  </si>
  <si>
    <t>4 כחול</t>
  </si>
  <si>
    <t>3 כחול</t>
  </si>
  <si>
    <t>1B</t>
  </si>
  <si>
    <t>2B</t>
  </si>
  <si>
    <t>3B</t>
  </si>
  <si>
    <t>4B</t>
  </si>
  <si>
    <t>5B</t>
  </si>
  <si>
    <t>5 כחול</t>
  </si>
  <si>
    <t>6B</t>
  </si>
  <si>
    <t>6 כחול</t>
  </si>
  <si>
    <t>7B</t>
  </si>
  <si>
    <t>7 כחול</t>
  </si>
  <si>
    <t>8B</t>
  </si>
  <si>
    <t>8 כחול</t>
  </si>
  <si>
    <t xml:space="preserve">5 אדום </t>
  </si>
  <si>
    <t xml:space="preserve">6 אדום </t>
  </si>
  <si>
    <t xml:space="preserve">7 אדום </t>
  </si>
  <si>
    <t xml:space="preserve">8 אדום </t>
  </si>
  <si>
    <t>קבוצה ב</t>
  </si>
  <si>
    <t>Opening Ceremony</t>
  </si>
  <si>
    <t>הפסקת קפה</t>
  </si>
  <si>
    <t>משעה</t>
  </si>
  <si>
    <t>עד שעה</t>
  </si>
  <si>
    <t>שימו לב, כי תכנית יום התחרות אינה ערוכה על פי סדר הפעילויות</t>
  </si>
  <si>
    <t>אנא הקפידו להגיע לכל מקצה ולמפגש השיפוט 10 דקות לפני הזמן</t>
  </si>
  <si>
    <t>מקצה אימונים</t>
  </si>
  <si>
    <t>מקצה שני</t>
  </si>
  <si>
    <t>מקצה ראשון</t>
  </si>
  <si>
    <t>מקצה שלישי</t>
  </si>
  <si>
    <t xml:space="preserve"> תחרות פיטים תתקיים במהלך כל היום, בזמנכם הפנוי</t>
  </si>
  <si>
    <t>Color</t>
  </si>
  <si>
    <t>אדום</t>
  </si>
  <si>
    <t>אעבלין</t>
  </si>
  <si>
    <t>ירושלים</t>
  </si>
  <si>
    <t>בנימינה-גבעת עדה</t>
  </si>
  <si>
    <t>כפר סבא</t>
  </si>
  <si>
    <t>נתניה</t>
  </si>
  <si>
    <t>חולון</t>
  </si>
  <si>
    <t>יבנה</t>
  </si>
  <si>
    <t>נצרת</t>
  </si>
  <si>
    <t xml:space="preserve">אבן סינא </t>
  </si>
  <si>
    <t>כפר קרע</t>
  </si>
  <si>
    <t>אכסאל</t>
  </si>
  <si>
    <t>ראשון לציון</t>
  </si>
  <si>
    <t xml:space="preserve">אשכול פיס </t>
  </si>
  <si>
    <t>נס ציונה</t>
  </si>
  <si>
    <t>בית שמש</t>
  </si>
  <si>
    <t>עראבה</t>
  </si>
  <si>
    <t>הרצליה</t>
  </si>
  <si>
    <t>AGCTeam</t>
  </si>
  <si>
    <t>אלון הגליל</t>
  </si>
  <si>
    <t>מודיעין-מכבים-רעות</t>
  </si>
  <si>
    <t>חצור הגלילית</t>
  </si>
  <si>
    <t xml:space="preserve">קרית נוער </t>
  </si>
  <si>
    <t>בני ברק</t>
  </si>
  <si>
    <t>סח׳נין</t>
  </si>
  <si>
    <t xml:space="preserve">מרכז מחוננים </t>
  </si>
  <si>
    <t>דימונה</t>
  </si>
  <si>
    <t>בית הגדי</t>
  </si>
  <si>
    <t>תל מונד</t>
  </si>
  <si>
    <t>תיכון דרך</t>
  </si>
  <si>
    <t>כאוכב אבו אל-היג'א</t>
  </si>
  <si>
    <t>קרית שמונה</t>
  </si>
  <si>
    <t>חיפה</t>
  </si>
  <si>
    <t>עתיד כרמים</t>
  </si>
  <si>
    <t xml:space="preserve">מקיף כוכב </t>
  </si>
  <si>
    <t>מקיף</t>
  </si>
  <si>
    <t>פלך בנים</t>
  </si>
  <si>
    <t>כרמים</t>
  </si>
  <si>
    <t>אילן רמון</t>
  </si>
  <si>
    <t>לאה גולדברג</t>
  </si>
  <si>
    <t xml:space="preserve">עתידים </t>
  </si>
  <si>
    <t>גינסבורג</t>
  </si>
  <si>
    <t xml:space="preserve">אל-קסטל </t>
  </si>
  <si>
    <t>אלזהראוי</t>
  </si>
  <si>
    <t>ידלין</t>
  </si>
  <si>
    <t>אלבוכארי</t>
  </si>
  <si>
    <t xml:space="preserve">הנדסאים </t>
  </si>
  <si>
    <t>אפרתה</t>
  </si>
  <si>
    <t xml:space="preserve">אברט </t>
  </si>
  <si>
    <t xml:space="preserve">לאורו נלך </t>
  </si>
  <si>
    <t xml:space="preserve">אלגדיר </t>
  </si>
  <si>
    <t>בנים</t>
  </si>
  <si>
    <t>אל זהראא ב</t>
  </si>
  <si>
    <t xml:space="preserve">עמי אסף </t>
  </si>
  <si>
    <t xml:space="preserve">נרייה </t>
  </si>
  <si>
    <t>שלנו</t>
  </si>
  <si>
    <t xml:space="preserve">כוכב </t>
  </si>
  <si>
    <t xml:space="preserve">צודות </t>
  </si>
  <si>
    <t xml:space="preserve">בארי </t>
  </si>
  <si>
    <t>אגרון</t>
  </si>
  <si>
    <t>נצח ישראל</t>
  </si>
  <si>
    <t xml:space="preserve">עירוני ד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</si>
</sst>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0000]h:mm;@"/>
    <numFmt numFmtId="165" formatCode="[$-F400]h:mm:ss\ AM/PM"/>
  </numFmts>
  <fonts count="24" x14ac:knownFonts="1">
    <font>
      <sz val="11"/>
      <color theme="1"/>
      <name val="Arial"/>
      <family val="2"/>
      <charset val="177"/>
      <scheme val="minor"/>
    </font>
    <font>
      <b/>
      <sz val="12"/>
      <color rgb="FF0070C0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b/>
      <sz val="1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sz val="13"/>
      <color theme="1"/>
      <name val="Tahoma"/>
      <family val="2"/>
    </font>
    <font>
      <sz val="13"/>
      <color theme="1"/>
      <name val="Tahoma"/>
      <family val="2"/>
    </font>
    <font>
      <b/>
      <i/>
      <sz val="13"/>
      <color theme="1"/>
      <name val="Tahoma"/>
      <family val="2"/>
    </font>
    <font>
      <sz val="11"/>
      <color theme="0"/>
      <name val="Tahoma"/>
      <family val="2"/>
    </font>
    <font>
      <b/>
      <sz val="10"/>
      <color rgb="FF0A010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0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  <font>
      <sz val="11"/>
      <name val="Tahoma"/>
      <family val="2"/>
    </font>
    <font>
      <sz val="13"/>
      <color rgb="FFFF0000"/>
      <name val="Tahoma"/>
      <family val="2"/>
    </font>
    <font>
      <sz val="9"/>
      <color theme="1"/>
      <name val="Arial"/>
      <family val="2"/>
      <charset val="177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theme="7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theme="7"/>
      </patternFill>
    </fill>
    <fill>
      <patternFill patternType="solid">
        <fgColor rgb="FFC00000"/>
        <bgColor indexed="64"/>
      </patternFill>
    </fill>
  </fills>
  <borders count="64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ck">
        <color auto="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indent="2"/>
    </xf>
    <xf numFmtId="164" fontId="0" fillId="0" borderId="3" xfId="0" applyNumberForma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20" fontId="5" fillId="0" borderId="12" xfId="0" applyNumberFormat="1" applyFont="1" applyBorder="1" applyAlignment="1">
      <alignment horizontal="center" vertical="center"/>
    </xf>
    <xf numFmtId="20" fontId="5" fillId="2" borderId="19" xfId="0" applyNumberFormat="1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20" fontId="5" fillId="0" borderId="2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right" vertical="center"/>
    </xf>
    <xf numFmtId="0" fontId="0" fillId="2" borderId="24" xfId="0" applyFill="1" applyBorder="1" applyAlignment="1">
      <alignment horizontal="center" vertical="center" readingOrder="2"/>
    </xf>
    <xf numFmtId="0" fontId="0" fillId="0" borderId="24" xfId="0" applyBorder="1" applyAlignment="1">
      <alignment horizontal="center" vertical="center" readingOrder="2"/>
    </xf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 readingOrder="2"/>
    </xf>
    <xf numFmtId="0" fontId="7" fillId="0" borderId="0" xfId="0" applyFont="1" applyAlignment="1">
      <alignment vertical="center"/>
    </xf>
    <xf numFmtId="0" fontId="8" fillId="0" borderId="16" xfId="0" applyFont="1" applyBorder="1" applyAlignment="1">
      <alignment horizontal="center" vertical="center" readingOrder="2"/>
    </xf>
    <xf numFmtId="20" fontId="7" fillId="0" borderId="14" xfId="0" applyNumberFormat="1" applyFont="1" applyBorder="1" applyAlignment="1">
      <alignment horizontal="center" vertical="center" readingOrder="2"/>
    </xf>
    <xf numFmtId="0" fontId="7" fillId="0" borderId="26" xfId="0" applyFont="1" applyBorder="1" applyAlignment="1">
      <alignment vertical="center" readingOrder="2"/>
    </xf>
    <xf numFmtId="20" fontId="7" fillId="0" borderId="13" xfId="0" applyNumberFormat="1" applyFont="1" applyBorder="1" applyAlignment="1">
      <alignment horizontal="center" vertical="center" readingOrder="2"/>
    </xf>
    <xf numFmtId="20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20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4" fontId="18" fillId="4" borderId="22" xfId="0" applyNumberFormat="1" applyFont="1" applyFill="1" applyBorder="1" applyAlignment="1">
      <alignment horizontal="center" vertical="center" wrapText="1"/>
    </xf>
    <xf numFmtId="0" fontId="18" fillId="4" borderId="21" xfId="0" applyFont="1" applyFill="1" applyBorder="1" applyAlignment="1">
      <alignment horizontal="center" vertical="center" wrapText="1"/>
    </xf>
    <xf numFmtId="0" fontId="0" fillId="0" borderId="35" xfId="0" applyBorder="1"/>
    <xf numFmtId="20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5" borderId="36" xfId="0" applyFill="1" applyBorder="1" applyAlignment="1">
      <alignment horizontal="center" vertical="center" wrapText="1"/>
    </xf>
    <xf numFmtId="20" fontId="0" fillId="5" borderId="36" xfId="0" applyNumberFormat="1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 wrapText="1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5" fillId="0" borderId="21" xfId="0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20" fontId="5" fillId="0" borderId="8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2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 readingOrder="2"/>
    </xf>
    <xf numFmtId="0" fontId="8" fillId="0" borderId="28" xfId="0" applyFont="1" applyBorder="1" applyAlignment="1">
      <alignment horizontal="right" vertical="center" readingOrder="2"/>
    </xf>
    <xf numFmtId="0" fontId="7" fillId="0" borderId="0" xfId="0" applyFont="1" applyAlignment="1">
      <alignment horizontal="center" vertical="center" readingOrder="2"/>
    </xf>
    <xf numFmtId="20" fontId="7" fillId="0" borderId="0" xfId="0" applyNumberFormat="1" applyFont="1" applyAlignment="1">
      <alignment vertical="center" readingOrder="2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readingOrder="2"/>
    </xf>
    <xf numFmtId="0" fontId="7" fillId="0" borderId="0" xfId="0" applyFont="1" applyAlignment="1">
      <alignment vertical="center" readingOrder="2"/>
    </xf>
    <xf numFmtId="0" fontId="10" fillId="0" borderId="0" xfId="0" applyFont="1" applyAlignment="1">
      <alignment vertical="center"/>
    </xf>
    <xf numFmtId="0" fontId="7" fillId="0" borderId="27" xfId="0" applyFont="1" applyBorder="1" applyAlignment="1">
      <alignment vertical="center" readingOrder="2"/>
    </xf>
    <xf numFmtId="0" fontId="0" fillId="0" borderId="0" xfId="0" applyAlignment="1">
      <alignment readingOrder="2"/>
    </xf>
    <xf numFmtId="0" fontId="0" fillId="0" borderId="44" xfId="0" applyBorder="1" applyAlignment="1">
      <alignment horizontal="center" vertical="center" readingOrder="2"/>
    </xf>
    <xf numFmtId="0" fontId="0" fillId="2" borderId="44" xfId="0" applyFill="1" applyBorder="1" applyAlignment="1">
      <alignment horizontal="center" vertical="center" readingOrder="2"/>
    </xf>
    <xf numFmtId="0" fontId="21" fillId="0" borderId="0" xfId="0" applyFont="1" applyAlignment="1">
      <alignment horizontal="center" vertical="center" readingOrder="2"/>
    </xf>
    <xf numFmtId="20" fontId="21" fillId="0" borderId="0" xfId="0" applyNumberFormat="1" applyFont="1" applyAlignment="1">
      <alignment vertical="center" readingOrder="2"/>
    </xf>
    <xf numFmtId="1" fontId="21" fillId="0" borderId="0" xfId="0" applyNumberFormat="1" applyFont="1" applyAlignment="1">
      <alignment vertical="center" readingOrder="2"/>
    </xf>
    <xf numFmtId="2" fontId="12" fillId="0" borderId="0" xfId="0" applyNumberFormat="1" applyFont="1" applyAlignment="1">
      <alignment vertical="center"/>
    </xf>
    <xf numFmtId="0" fontId="2" fillId="0" borderId="23" xfId="0" applyFont="1" applyBorder="1" applyAlignment="1">
      <alignment vertical="center" readingOrder="2"/>
    </xf>
    <xf numFmtId="0" fontId="0" fillId="0" borderId="0" xfId="0" applyAlignment="1">
      <alignment vertical="center" readingOrder="2"/>
    </xf>
    <xf numFmtId="0" fontId="0" fillId="0" borderId="47" xfId="0" applyBorder="1"/>
    <xf numFmtId="20" fontId="0" fillId="0" borderId="47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20" fontId="5" fillId="0" borderId="7" xfId="0" applyNumberFormat="1" applyFont="1" applyBorder="1" applyAlignment="1">
      <alignment horizontal="center" vertical="center"/>
    </xf>
    <xf numFmtId="0" fontId="0" fillId="2" borderId="25" xfId="0" applyFill="1" applyBorder="1" applyAlignment="1">
      <alignment horizontal="center" vertical="center" readingOrder="2"/>
    </xf>
    <xf numFmtId="0" fontId="0" fillId="2" borderId="46" xfId="0" applyFill="1" applyBorder="1" applyAlignment="1">
      <alignment horizontal="center" vertical="center" readingOrder="2"/>
    </xf>
    <xf numFmtId="0" fontId="0" fillId="0" borderId="25" xfId="0" applyBorder="1" applyAlignment="1">
      <alignment horizontal="center" vertical="center" readingOrder="2"/>
    </xf>
    <xf numFmtId="0" fontId="0" fillId="0" borderId="46" xfId="0" applyBorder="1" applyAlignment="1">
      <alignment horizontal="center" vertical="center" readingOrder="2"/>
    </xf>
    <xf numFmtId="0" fontId="2" fillId="0" borderId="23" xfId="0" applyFont="1" applyBorder="1" applyAlignment="1">
      <alignment horizontal="left" vertical="center" readingOrder="2"/>
    </xf>
    <xf numFmtId="0" fontId="0" fillId="0" borderId="23" xfId="0" applyBorder="1" applyAlignment="1">
      <alignment vertical="center" readingOrder="2"/>
    </xf>
    <xf numFmtId="0" fontId="0" fillId="0" borderId="23" xfId="0" applyBorder="1" applyAlignment="1">
      <alignment horizontal="center" vertical="center" readingOrder="2"/>
    </xf>
    <xf numFmtId="0" fontId="2" fillId="0" borderId="23" xfId="0" applyFont="1" applyBorder="1" applyAlignment="1">
      <alignment horizontal="center" vertical="center" readingOrder="2"/>
    </xf>
    <xf numFmtId="0" fontId="2" fillId="0" borderId="23" xfId="0" applyFont="1" applyBorder="1" applyAlignment="1">
      <alignment horizontal="right" vertical="center" readingOrder="2"/>
    </xf>
    <xf numFmtId="0" fontId="4" fillId="0" borderId="41" xfId="0" applyFont="1" applyBorder="1" applyAlignment="1">
      <alignment horizontal="center" vertical="center" wrapText="1" readingOrder="2"/>
    </xf>
    <xf numFmtId="164" fontId="4" fillId="0" borderId="42" xfId="0" applyNumberFormat="1" applyFont="1" applyBorder="1" applyAlignment="1">
      <alignment horizontal="center" vertical="center" wrapText="1" readingOrder="2"/>
    </xf>
    <xf numFmtId="1" fontId="4" fillId="0" borderId="42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5" fillId="0" borderId="40" xfId="0" applyFont="1" applyBorder="1" applyAlignment="1">
      <alignment readingOrder="2"/>
    </xf>
    <xf numFmtId="0" fontId="5" fillId="0" borderId="40" xfId="0" applyFont="1" applyBorder="1" applyAlignment="1">
      <alignment horizontal="center" vertical="center" readingOrder="2"/>
    </xf>
    <xf numFmtId="0" fontId="18" fillId="6" borderId="0" xfId="0" applyFont="1" applyFill="1" applyAlignment="1">
      <alignment horizontal="right" vertical="center" wrapText="1" indent="1"/>
    </xf>
    <xf numFmtId="0" fontId="20" fillId="7" borderId="0" xfId="0" applyFont="1" applyFill="1" applyAlignment="1">
      <alignment horizontal="center" vertical="center" wrapText="1"/>
    </xf>
    <xf numFmtId="0" fontId="5" fillId="0" borderId="21" xfId="0" applyFont="1" applyBorder="1" applyAlignment="1">
      <alignment horizontal="center" vertical="center" readingOrder="2"/>
    </xf>
    <xf numFmtId="0" fontId="5" fillId="0" borderId="12" xfId="0" applyFont="1" applyBorder="1" applyAlignment="1">
      <alignment horizontal="center" vertical="center" wrapText="1" readingOrder="2"/>
    </xf>
    <xf numFmtId="20" fontId="5" fillId="0" borderId="12" xfId="0" applyNumberFormat="1" applyFont="1" applyBorder="1" applyAlignment="1">
      <alignment horizontal="center" vertical="center" wrapText="1" readingOrder="2"/>
    </xf>
    <xf numFmtId="0" fontId="4" fillId="0" borderId="29" xfId="0" applyFont="1" applyBorder="1" applyAlignment="1">
      <alignment horizontal="center" vertical="center" wrapText="1" readingOrder="2"/>
    </xf>
    <xf numFmtId="0" fontId="4" fillId="0" borderId="30" xfId="0" applyFont="1" applyBorder="1" applyAlignment="1">
      <alignment horizontal="center" vertical="center" wrapText="1" readingOrder="2"/>
    </xf>
    <xf numFmtId="0" fontId="0" fillId="0" borderId="0" xfId="0" applyAlignment="1">
      <alignment wrapText="1" readingOrder="2"/>
    </xf>
    <xf numFmtId="0" fontId="5" fillId="0" borderId="6" xfId="0" applyFont="1" applyBorder="1" applyAlignment="1">
      <alignment horizontal="center" vertical="center" wrapText="1" readingOrder="2"/>
    </xf>
    <xf numFmtId="20" fontId="5" fillId="0" borderId="6" xfId="0" applyNumberFormat="1" applyFont="1" applyBorder="1" applyAlignment="1">
      <alignment horizontal="center" vertical="center" wrapText="1" readingOrder="2"/>
    </xf>
    <xf numFmtId="0" fontId="4" fillId="0" borderId="40" xfId="0" applyFont="1" applyBorder="1" applyAlignment="1">
      <alignment horizontal="center" vertical="center" wrapText="1" readingOrder="2"/>
    </xf>
    <xf numFmtId="0" fontId="4" fillId="0" borderId="2" xfId="0" applyFont="1" applyBorder="1" applyAlignment="1">
      <alignment horizontal="center" vertical="center" wrapText="1" readingOrder="2"/>
    </xf>
    <xf numFmtId="0" fontId="5" fillId="2" borderId="7" xfId="0" applyFont="1" applyFill="1" applyBorder="1" applyAlignment="1">
      <alignment horizontal="center" vertical="center" readingOrder="2"/>
    </xf>
    <xf numFmtId="20" fontId="0" fillId="2" borderId="3" xfId="0" applyNumberFormat="1" applyFill="1" applyBorder="1" applyAlignment="1">
      <alignment horizontal="center" vertical="center" readingOrder="2"/>
    </xf>
    <xf numFmtId="20" fontId="0" fillId="2" borderId="7" xfId="0" applyNumberFormat="1" applyFill="1" applyBorder="1" applyAlignment="1">
      <alignment horizontal="center" vertical="center" readingOrder="2"/>
    </xf>
    <xf numFmtId="0" fontId="0" fillId="2" borderId="0" xfId="0" applyFill="1" applyAlignment="1">
      <alignment horizontal="center" vertical="center" readingOrder="2"/>
    </xf>
    <xf numFmtId="0" fontId="0" fillId="2" borderId="3" xfId="0" applyFill="1" applyBorder="1" applyAlignment="1">
      <alignment horizontal="center" vertical="center" readingOrder="2"/>
    </xf>
    <xf numFmtId="0" fontId="5" fillId="2" borderId="6" xfId="0" applyFont="1" applyFill="1" applyBorder="1" applyAlignment="1">
      <alignment horizontal="center" vertical="center" readingOrder="2"/>
    </xf>
    <xf numFmtId="20" fontId="0" fillId="2" borderId="2" xfId="0" applyNumberFormat="1" applyFill="1" applyBorder="1" applyAlignment="1">
      <alignment horizontal="center" vertical="center" readingOrder="2"/>
    </xf>
    <xf numFmtId="20" fontId="0" fillId="2" borderId="6" xfId="0" applyNumberFormat="1" applyFill="1" applyBorder="1" applyAlignment="1">
      <alignment horizontal="center" vertical="center" readingOrder="2"/>
    </xf>
    <xf numFmtId="0" fontId="0" fillId="2" borderId="40" xfId="0" applyFill="1" applyBorder="1" applyAlignment="1">
      <alignment horizontal="center" vertical="center" readingOrder="2"/>
    </xf>
    <xf numFmtId="0" fontId="0" fillId="2" borderId="2" xfId="0" applyFill="1" applyBorder="1" applyAlignment="1">
      <alignment horizontal="center" vertical="center" readingOrder="2"/>
    </xf>
    <xf numFmtId="0" fontId="5" fillId="0" borderId="7" xfId="0" applyFont="1" applyBorder="1" applyAlignment="1">
      <alignment horizontal="center" vertical="center" readingOrder="2"/>
    </xf>
    <xf numFmtId="20" fontId="0" fillId="0" borderId="3" xfId="0" applyNumberFormat="1" applyBorder="1" applyAlignment="1">
      <alignment horizontal="center" vertical="center" readingOrder="2"/>
    </xf>
    <xf numFmtId="20" fontId="0" fillId="0" borderId="7" xfId="0" applyNumberFormat="1" applyBorder="1" applyAlignment="1">
      <alignment horizontal="center" vertical="center" readingOrder="2"/>
    </xf>
    <xf numFmtId="0" fontId="0" fillId="0" borderId="3" xfId="0" applyBorder="1" applyAlignment="1">
      <alignment horizontal="center" vertical="center" readingOrder="2"/>
    </xf>
    <xf numFmtId="0" fontId="0" fillId="9" borderId="0" xfId="0" applyFill="1" applyAlignment="1">
      <alignment horizontal="center" vertical="center" readingOrder="2"/>
    </xf>
    <xf numFmtId="0" fontId="0" fillId="9" borderId="3" xfId="0" applyFill="1" applyBorder="1" applyAlignment="1">
      <alignment horizontal="center" vertical="center" readingOrder="2"/>
    </xf>
    <xf numFmtId="0" fontId="5" fillId="9" borderId="8" xfId="0" applyFont="1" applyFill="1" applyBorder="1" applyAlignment="1">
      <alignment horizontal="center" vertical="center" readingOrder="2"/>
    </xf>
    <xf numFmtId="20" fontId="0" fillId="9" borderId="5" xfId="0" applyNumberFormat="1" applyFill="1" applyBorder="1" applyAlignment="1">
      <alignment horizontal="center" vertical="center" readingOrder="2"/>
    </xf>
    <xf numFmtId="20" fontId="0" fillId="9" borderId="8" xfId="0" applyNumberFormat="1" applyFill="1" applyBorder="1" applyAlignment="1">
      <alignment horizontal="center" vertical="center" readingOrder="2"/>
    </xf>
    <xf numFmtId="0" fontId="0" fillId="9" borderId="4" xfId="0" applyFill="1" applyBorder="1" applyAlignment="1">
      <alignment horizontal="center" vertical="center" readingOrder="2"/>
    </xf>
    <xf numFmtId="0" fontId="0" fillId="9" borderId="5" xfId="0" applyFill="1" applyBorder="1" applyAlignment="1">
      <alignment horizontal="center" vertical="center" readingOrder="2"/>
    </xf>
    <xf numFmtId="20" fontId="0" fillId="0" borderId="12" xfId="0" applyNumberFormat="1" applyBorder="1" applyAlignment="1">
      <alignment horizontal="center" vertical="center" readingOrder="2"/>
    </xf>
    <xf numFmtId="20" fontId="0" fillId="0" borderId="22" xfId="0" applyNumberFormat="1" applyBorder="1" applyAlignment="1">
      <alignment horizontal="center" vertical="center" readingOrder="2"/>
    </xf>
    <xf numFmtId="0" fontId="5" fillId="0" borderId="0" xfId="0" applyFont="1" applyAlignment="1">
      <alignment readingOrder="2"/>
    </xf>
    <xf numFmtId="20" fontId="17" fillId="0" borderId="0" xfId="0" applyNumberFormat="1" applyFont="1" applyAlignment="1">
      <alignment horizontal="center" vertical="center" readingOrder="2"/>
    </xf>
    <xf numFmtId="0" fontId="17" fillId="0" borderId="0" xfId="0" applyFont="1" applyAlignment="1">
      <alignment horizontal="center" vertical="center" readingOrder="2"/>
    </xf>
    <xf numFmtId="0" fontId="0" fillId="0" borderId="0" xfId="0" applyAlignment="1">
      <alignment horizontal="center" readingOrder="2"/>
    </xf>
    <xf numFmtId="0" fontId="5" fillId="2" borderId="18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right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1" xfId="0" applyBorder="1" applyAlignment="1">
      <alignment vertical="center" wrapText="1" readingOrder="2"/>
    </xf>
    <xf numFmtId="164" fontId="0" fillId="0" borderId="0" xfId="0" applyNumberFormat="1" applyAlignment="1">
      <alignment horizontal="center" vertical="center" wrapText="1" readingOrder="2"/>
    </xf>
    <xf numFmtId="0" fontId="0" fillId="0" borderId="1" xfId="0" applyBorder="1" applyAlignment="1">
      <alignment horizontal="center" vertical="center" wrapText="1" readingOrder="2"/>
    </xf>
    <xf numFmtId="164" fontId="0" fillId="0" borderId="1" xfId="0" applyNumberFormat="1" applyBorder="1" applyAlignment="1">
      <alignment horizontal="center" vertical="center" wrapText="1" readingOrder="2"/>
    </xf>
    <xf numFmtId="0" fontId="0" fillId="0" borderId="0" xfId="0" applyAlignment="1">
      <alignment vertical="center" wrapText="1" readingOrder="2"/>
    </xf>
    <xf numFmtId="0" fontId="0" fillId="0" borderId="1" xfId="0" applyBorder="1" applyAlignment="1">
      <alignment horizontal="right" vertical="center" readingOrder="2"/>
    </xf>
    <xf numFmtId="20" fontId="0" fillId="0" borderId="1" xfId="0" applyNumberFormat="1" applyBorder="1" applyAlignment="1">
      <alignment horizontal="center" vertical="center" readingOrder="2"/>
    </xf>
    <xf numFmtId="0" fontId="0" fillId="0" borderId="1" xfId="0" applyBorder="1" applyAlignment="1">
      <alignment horizontal="center" vertical="center" readingOrder="2"/>
    </xf>
    <xf numFmtId="20" fontId="0" fillId="0" borderId="0" xfId="0" applyNumberFormat="1" applyAlignment="1">
      <alignment horizontal="center" vertical="center" readingOrder="2"/>
    </xf>
    <xf numFmtId="20" fontId="0" fillId="0" borderId="0" xfId="0" applyNumberFormat="1" applyAlignment="1">
      <alignment vertical="center" readingOrder="2"/>
    </xf>
    <xf numFmtId="0" fontId="0" fillId="8" borderId="0" xfId="0" applyFill="1" applyAlignment="1">
      <alignment readingOrder="2"/>
    </xf>
    <xf numFmtId="0" fontId="0" fillId="8" borderId="39" xfId="0" applyFill="1" applyBorder="1" applyAlignment="1">
      <alignment readingOrder="2"/>
    </xf>
    <xf numFmtId="1" fontId="0" fillId="0" borderId="1" xfId="0" applyNumberFormat="1" applyBorder="1" applyAlignment="1">
      <alignment horizontal="center" vertical="center" readingOrder="2"/>
    </xf>
    <xf numFmtId="1" fontId="0" fillId="0" borderId="0" xfId="0" applyNumberFormat="1" applyAlignment="1">
      <alignment horizontal="center" vertical="center" readingOrder="2"/>
    </xf>
    <xf numFmtId="0" fontId="0" fillId="0" borderId="39" xfId="0" applyBorder="1" applyAlignment="1">
      <alignment readingOrder="2"/>
    </xf>
    <xf numFmtId="0" fontId="0" fillId="0" borderId="1" xfId="0" applyBorder="1" applyAlignment="1">
      <alignment vertical="center" readingOrder="2"/>
    </xf>
    <xf numFmtId="164" fontId="0" fillId="0" borderId="0" xfId="0" applyNumberFormat="1" applyAlignment="1">
      <alignment horizontal="center" vertical="center" readingOrder="2"/>
    </xf>
    <xf numFmtId="164" fontId="0" fillId="0" borderId="38" xfId="0" applyNumberFormat="1" applyBorder="1" applyAlignment="1">
      <alignment horizontal="center" vertical="center" readingOrder="2"/>
    </xf>
    <xf numFmtId="165" fontId="0" fillId="0" borderId="1" xfId="0" applyNumberFormat="1" applyBorder="1" applyAlignment="1">
      <alignment horizontal="center" vertical="center" readingOrder="2"/>
    </xf>
    <xf numFmtId="0" fontId="0" fillId="0" borderId="38" xfId="0" applyBorder="1" applyAlignment="1">
      <alignment horizontal="center" vertical="center" readingOrder="2"/>
    </xf>
    <xf numFmtId="165" fontId="0" fillId="0" borderId="0" xfId="0" applyNumberFormat="1" applyAlignment="1">
      <alignment horizontal="center" vertical="center" readingOrder="2"/>
    </xf>
    <xf numFmtId="0" fontId="5" fillId="0" borderId="0" xfId="0" applyFont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20" fontId="16" fillId="0" borderId="0" xfId="0" applyNumberFormat="1" applyFont="1" applyAlignment="1">
      <alignment horizontal="center" vertical="center" readingOrder="2"/>
    </xf>
    <xf numFmtId="0" fontId="16" fillId="0" borderId="0" xfId="0" applyFont="1" applyAlignment="1">
      <alignment horizontal="center" vertical="center" readingOrder="2"/>
    </xf>
    <xf numFmtId="0" fontId="13" fillId="0" borderId="0" xfId="0" applyFont="1" applyAlignment="1">
      <alignment horizontal="left" readingOrder="2"/>
    </xf>
    <xf numFmtId="0" fontId="13" fillId="0" borderId="0" xfId="0" applyFont="1" applyAlignment="1">
      <alignment readingOrder="2"/>
    </xf>
    <xf numFmtId="21" fontId="0" fillId="0" borderId="0" xfId="0" applyNumberFormat="1" applyAlignment="1">
      <alignment horizontal="center" vertical="center" readingOrder="2"/>
    </xf>
    <xf numFmtId="20" fontId="0" fillId="0" borderId="0" xfId="0" applyNumberFormat="1" applyAlignment="1">
      <alignment readingOrder="2"/>
    </xf>
    <xf numFmtId="0" fontId="0" fillId="0" borderId="0" xfId="0" applyAlignment="1">
      <alignment horizontal="left" vertical="center" readingOrder="2"/>
    </xf>
    <xf numFmtId="0" fontId="18" fillId="4" borderId="32" xfId="0" applyFont="1" applyFill="1" applyBorder="1" applyAlignment="1">
      <alignment horizontal="center" vertical="center" readingOrder="2"/>
    </xf>
    <xf numFmtId="0" fontId="18" fillId="4" borderId="33" xfId="0" applyFont="1" applyFill="1" applyBorder="1" applyAlignment="1">
      <alignment readingOrder="2"/>
    </xf>
    <xf numFmtId="0" fontId="18" fillId="4" borderId="33" xfId="0" applyFont="1" applyFill="1" applyBorder="1" applyAlignment="1">
      <alignment horizontal="center" vertical="center" readingOrder="2"/>
    </xf>
    <xf numFmtId="164" fontId="18" fillId="4" borderId="33" xfId="0" applyNumberFormat="1" applyFont="1" applyFill="1" applyBorder="1" applyAlignment="1">
      <alignment horizontal="center" vertical="center" readingOrder="2"/>
    </xf>
    <xf numFmtId="0" fontId="18" fillId="4" borderId="34" xfId="0" applyFont="1" applyFill="1" applyBorder="1" applyAlignment="1">
      <alignment horizontal="center" vertical="center" readingOrder="2"/>
    </xf>
    <xf numFmtId="1" fontId="0" fillId="0" borderId="31" xfId="0" applyNumberFormat="1" applyBorder="1" applyAlignment="1">
      <alignment horizontal="center" vertical="center" readingOrder="2"/>
    </xf>
    <xf numFmtId="164" fontId="0" fillId="0" borderId="1" xfId="0" applyNumberFormat="1" applyBorder="1" applyAlignment="1">
      <alignment horizontal="center" vertical="center" readingOrder="2"/>
    </xf>
    <xf numFmtId="0" fontId="0" fillId="8" borderId="53" xfId="0" applyFill="1" applyBorder="1" applyAlignment="1">
      <alignment readingOrder="2"/>
    </xf>
    <xf numFmtId="0" fontId="0" fillId="0" borderId="53" xfId="0" applyBorder="1" applyAlignment="1">
      <alignment readingOrder="2"/>
    </xf>
    <xf numFmtId="0" fontId="0" fillId="0" borderId="31" xfId="0" applyBorder="1" applyAlignment="1">
      <alignment readingOrder="2"/>
    </xf>
    <xf numFmtId="0" fontId="18" fillId="4" borderId="33" xfId="0" applyFont="1" applyFill="1" applyBorder="1" applyAlignment="1">
      <alignment horizontal="center" readingOrder="2"/>
    </xf>
    <xf numFmtId="0" fontId="0" fillId="8" borderId="53" xfId="0" applyFill="1" applyBorder="1" applyAlignment="1">
      <alignment horizontal="center" readingOrder="2"/>
    </xf>
    <xf numFmtId="0" fontId="0" fillId="0" borderId="53" xfId="0" applyBorder="1" applyAlignment="1">
      <alignment horizontal="center" readingOrder="2"/>
    </xf>
    <xf numFmtId="0" fontId="0" fillId="8" borderId="39" xfId="0" applyFill="1" applyBorder="1" applyAlignment="1">
      <alignment horizontal="center" readingOrder="2"/>
    </xf>
    <xf numFmtId="0" fontId="0" fillId="0" borderId="39" xfId="0" applyBorder="1" applyAlignment="1">
      <alignment horizontal="center" readingOrder="2"/>
    </xf>
    <xf numFmtId="0" fontId="0" fillId="0" borderId="31" xfId="0" applyBorder="1" applyAlignment="1">
      <alignment horizontal="center" readingOrder="2"/>
    </xf>
    <xf numFmtId="0" fontId="0" fillId="2" borderId="52" xfId="0" applyFill="1" applyBorder="1" applyAlignment="1">
      <alignment horizontal="center" vertical="center" readingOrder="2"/>
    </xf>
    <xf numFmtId="0" fontId="0" fillId="0" borderId="52" xfId="0" applyBorder="1" applyAlignment="1">
      <alignment horizontal="center" vertical="center" readingOrder="2"/>
    </xf>
    <xf numFmtId="0" fontId="5" fillId="0" borderId="8" xfId="0" applyFont="1" applyBorder="1" applyAlignment="1">
      <alignment horizontal="center" vertical="center" readingOrder="2"/>
    </xf>
    <xf numFmtId="20" fontId="0" fillId="0" borderId="5" xfId="0" applyNumberFormat="1" applyBorder="1" applyAlignment="1">
      <alignment horizontal="center" vertical="center" readingOrder="2"/>
    </xf>
    <xf numFmtId="20" fontId="0" fillId="0" borderId="8" xfId="0" applyNumberFormat="1" applyBorder="1" applyAlignment="1">
      <alignment horizontal="center" vertical="center" readingOrder="2"/>
    </xf>
    <xf numFmtId="0" fontId="0" fillId="0" borderId="4" xfId="0" applyBorder="1" applyAlignment="1">
      <alignment horizontal="center" vertical="center" readingOrder="2"/>
    </xf>
    <xf numFmtId="0" fontId="0" fillId="0" borderId="54" xfId="0" applyBorder="1" applyAlignment="1">
      <alignment horizontal="center" vertical="center" readingOrder="2"/>
    </xf>
    <xf numFmtId="0" fontId="0" fillId="0" borderId="5" xfId="0" applyBorder="1" applyAlignment="1">
      <alignment horizontal="center" vertical="center" readingOrder="2"/>
    </xf>
    <xf numFmtId="0" fontId="0" fillId="0" borderId="23" xfId="0" applyBorder="1"/>
    <xf numFmtId="164" fontId="0" fillId="0" borderId="33" xfId="0" applyNumberFormat="1" applyBorder="1" applyAlignment="1">
      <alignment horizontal="center" vertical="center" readingOrder="2"/>
    </xf>
    <xf numFmtId="0" fontId="5" fillId="2" borderId="11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0" fontId="5" fillId="0" borderId="57" xfId="0" applyNumberFormat="1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20" fontId="12" fillId="0" borderId="0" xfId="0" applyNumberFormat="1" applyFont="1" applyAlignment="1">
      <alignment vertical="center"/>
    </xf>
    <xf numFmtId="20" fontId="7" fillId="0" borderId="9" xfId="0" applyNumberFormat="1" applyFont="1" applyBorder="1" applyAlignment="1">
      <alignment horizontal="center" vertical="center" readingOrder="2"/>
    </xf>
    <xf numFmtId="20" fontId="7" fillId="0" borderId="11" xfId="0" applyNumberFormat="1" applyFont="1" applyBorder="1" applyAlignment="1">
      <alignment horizontal="center" vertical="center" readingOrder="2"/>
    </xf>
    <xf numFmtId="0" fontId="8" fillId="0" borderId="56" xfId="0" applyFont="1" applyBorder="1" applyAlignment="1">
      <alignment horizontal="center" vertical="center" readingOrder="2"/>
    </xf>
    <xf numFmtId="0" fontId="7" fillId="0" borderId="61" xfId="0" applyFont="1" applyBorder="1" applyAlignment="1">
      <alignment vertical="center" readingOrder="2"/>
    </xf>
    <xf numFmtId="20" fontId="7" fillId="0" borderId="49" xfId="0" applyNumberFormat="1" applyFont="1" applyBorder="1" applyAlignment="1">
      <alignment horizontal="center" vertical="center" readingOrder="2"/>
    </xf>
    <xf numFmtId="20" fontId="7" fillId="0" borderId="50" xfId="0" applyNumberFormat="1" applyFont="1" applyBorder="1" applyAlignment="1">
      <alignment horizontal="center" vertical="center" readingOrder="2"/>
    </xf>
    <xf numFmtId="0" fontId="22" fillId="0" borderId="0" xfId="0" applyFont="1" applyAlignment="1">
      <alignment horizontal="right" vertical="center" readingOrder="2"/>
    </xf>
    <xf numFmtId="0" fontId="0" fillId="5" borderId="6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20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 wrapText="1"/>
    </xf>
    <xf numFmtId="0" fontId="5" fillId="2" borderId="63" xfId="0" applyFont="1" applyFill="1" applyBorder="1" applyAlignment="1">
      <alignment horizontal="center" vertical="center"/>
    </xf>
    <xf numFmtId="20" fontId="5" fillId="2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indent="1"/>
    </xf>
    <xf numFmtId="0" fontId="23" fillId="0" borderId="44" xfId="0" applyFont="1" applyBorder="1" applyAlignment="1">
      <alignment horizontal="center" vertical="center" readingOrder="2"/>
    </xf>
    <xf numFmtId="0" fontId="23" fillId="2" borderId="24" xfId="0" applyFont="1" applyFill="1" applyBorder="1" applyAlignment="1">
      <alignment horizontal="center" vertical="center" readingOrder="2"/>
    </xf>
    <xf numFmtId="0" fontId="23" fillId="0" borderId="24" xfId="0" applyFont="1" applyBorder="1" applyAlignment="1">
      <alignment horizontal="center" vertical="center" readingOrder="2"/>
    </xf>
    <xf numFmtId="0" fontId="2" fillId="0" borderId="0" xfId="0" applyFont="1" applyAlignment="1" applyProtection="1">
      <alignment horizontal="right" vertical="center" readingOrder="2"/>
      <protection locked="0"/>
    </xf>
    <xf numFmtId="0" fontId="0" fillId="0" borderId="23" xfId="0" applyBorder="1" applyAlignment="1">
      <alignment vertical="center"/>
    </xf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18" fillId="10" borderId="0" xfId="0" applyFont="1" applyFill="1" applyAlignment="1">
      <alignment horizontal="right" vertical="center" wrapText="1" indent="1"/>
    </xf>
    <xf numFmtId="0" fontId="20" fillId="11" borderId="0" xfId="0" applyFont="1" applyFill="1" applyAlignment="1">
      <alignment horizontal="center" vertical="center" wrapText="1"/>
    </xf>
    <xf numFmtId="0" fontId="20" fillId="11" borderId="0" xfId="0" applyFont="1" applyFill="1" applyAlignment="1">
      <alignment horizontal="right" vertical="center" wrapText="1"/>
    </xf>
    <xf numFmtId="0" fontId="20" fillId="11" borderId="0" xfId="0" applyFont="1" applyFill="1" applyAlignment="1">
      <alignment horizontal="center" vertical="center" wrapText="1" readingOrder="2"/>
    </xf>
    <xf numFmtId="0" fontId="20" fillId="11" borderId="0" xfId="0" applyFont="1" applyFill="1" applyAlignment="1" applyProtection="1">
      <alignment horizontal="center" vertical="center" wrapText="1"/>
      <protection locked="0"/>
    </xf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0" fillId="2" borderId="43" xfId="0" applyFill="1" applyBorder="1" applyAlignment="1">
      <alignment horizontal="center" vertical="center" readingOrder="2"/>
    </xf>
    <xf numFmtId="0" fontId="0" fillId="2" borderId="45" xfId="0" applyFill="1" applyBorder="1" applyAlignment="1">
      <alignment horizontal="center" vertical="center" readingOrder="2"/>
    </xf>
    <xf numFmtId="164" fontId="0" fillId="2" borderId="24" xfId="0" applyNumberFormat="1" applyFill="1" applyBorder="1" applyAlignment="1">
      <alignment horizontal="center" vertical="center" readingOrder="2"/>
    </xf>
    <xf numFmtId="164" fontId="0" fillId="2" borderId="25" xfId="0" applyNumberFormat="1" applyFill="1" applyBorder="1" applyAlignment="1">
      <alignment horizontal="center" vertical="center" readingOrder="2"/>
    </xf>
    <xf numFmtId="0" fontId="0" fillId="0" borderId="43" xfId="0" applyBorder="1" applyAlignment="1">
      <alignment horizontal="center" vertical="center" readingOrder="2"/>
    </xf>
    <xf numFmtId="0" fontId="0" fillId="0" borderId="45" xfId="0" applyBorder="1" applyAlignment="1">
      <alignment horizontal="center" vertical="center" readingOrder="2"/>
    </xf>
    <xf numFmtId="164" fontId="0" fillId="0" borderId="24" xfId="0" applyNumberFormat="1" applyBorder="1" applyAlignment="1">
      <alignment horizontal="center" vertical="center" readingOrder="2"/>
    </xf>
    <xf numFmtId="164" fontId="0" fillId="0" borderId="25" xfId="0" applyNumberFormat="1" applyBorder="1" applyAlignment="1">
      <alignment horizontal="center" vertical="center" readingOrder="2"/>
    </xf>
    <xf numFmtId="0" fontId="5" fillId="0" borderId="0" xfId="0" applyFont="1" applyAlignment="1">
      <alignment horizontal="center" vertical="center" readingOrder="2"/>
    </xf>
    <xf numFmtId="0" fontId="5" fillId="0" borderId="21" xfId="0" applyFont="1" applyBorder="1" applyAlignment="1">
      <alignment horizontal="center" vertical="center" readingOrder="2"/>
    </xf>
    <xf numFmtId="0" fontId="5" fillId="0" borderId="22" xfId="0" applyFont="1" applyBorder="1" applyAlignment="1">
      <alignment horizontal="center" vertical="center" readingOrder="2"/>
    </xf>
    <xf numFmtId="0" fontId="5" fillId="0" borderId="18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 readingOrder="2"/>
    </xf>
    <xf numFmtId="0" fontId="0" fillId="0" borderId="21" xfId="0" applyBorder="1" applyAlignment="1">
      <alignment horizontal="center" vertical="center" readingOrder="2"/>
    </xf>
    <xf numFmtId="0" fontId="0" fillId="0" borderId="22" xfId="0" applyBorder="1" applyAlignment="1">
      <alignment horizontal="center" vertical="center" readingOrder="2"/>
    </xf>
    <xf numFmtId="0" fontId="0" fillId="0" borderId="18" xfId="0" applyBorder="1" applyAlignment="1">
      <alignment horizontal="center" vertical="center" readingOrder="2"/>
    </xf>
    <xf numFmtId="0" fontId="5" fillId="0" borderId="5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readingOrder="2"/>
    </xf>
    <xf numFmtId="0" fontId="2" fillId="0" borderId="23" xfId="0" applyFont="1" applyBorder="1" applyAlignment="1">
      <alignment horizontal="left" vertical="center" readingOrder="2"/>
    </xf>
    <xf numFmtId="0" fontId="2" fillId="0" borderId="5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 readingOrder="2"/>
    </xf>
    <xf numFmtId="0" fontId="4" fillId="0" borderId="22" xfId="0" applyFont="1" applyBorder="1" applyAlignment="1">
      <alignment horizontal="center" vertical="center" wrapText="1" readingOrder="2"/>
    </xf>
    <xf numFmtId="0" fontId="4" fillId="0" borderId="56" xfId="0" applyFont="1" applyBorder="1" applyAlignment="1">
      <alignment horizontal="center" vertical="center" wrapText="1" readingOrder="2"/>
    </xf>
    <xf numFmtId="0" fontId="4" fillId="0" borderId="55" xfId="0" applyFont="1" applyBorder="1" applyAlignment="1">
      <alignment horizontal="center" vertical="center" wrapText="1" readingOrder="2"/>
    </xf>
    <xf numFmtId="0" fontId="4" fillId="0" borderId="18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14" fontId="2" fillId="0" borderId="23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readingOrder="2"/>
    </xf>
    <xf numFmtId="0" fontId="1" fillId="0" borderId="22" xfId="0" applyFont="1" applyBorder="1" applyAlignment="1">
      <alignment horizontal="center" vertical="center" readingOrder="2"/>
    </xf>
    <xf numFmtId="0" fontId="1" fillId="0" borderId="18" xfId="0" applyFont="1" applyBorder="1" applyAlignment="1">
      <alignment horizontal="center" vertical="center" readingOrder="2"/>
    </xf>
    <xf numFmtId="0" fontId="0" fillId="3" borderId="21" xfId="0" applyFill="1" applyBorder="1" applyAlignment="1">
      <alignment horizontal="center" vertical="center" readingOrder="2"/>
    </xf>
    <xf numFmtId="0" fontId="0" fillId="3" borderId="22" xfId="0" applyFill="1" applyBorder="1" applyAlignment="1">
      <alignment horizontal="center" vertical="center" readingOrder="2"/>
    </xf>
    <xf numFmtId="0" fontId="0" fillId="3" borderId="18" xfId="0" applyFill="1" applyBorder="1" applyAlignment="1">
      <alignment horizontal="center" vertical="center" readingOrder="2"/>
    </xf>
    <xf numFmtId="0" fontId="9" fillId="0" borderId="0" xfId="0" applyFont="1" applyAlignment="1">
      <alignment horizontal="center" vertical="center" readingOrder="2"/>
    </xf>
    <xf numFmtId="0" fontId="11" fillId="0" borderId="0" xfId="0" applyFont="1" applyAlignment="1">
      <alignment horizontal="center" vertical="center" readingOrder="2"/>
    </xf>
    <xf numFmtId="0" fontId="0" fillId="0" borderId="0" xfId="0" applyAlignment="1">
      <alignment horizontal="right"/>
    </xf>
  </cellXfs>
  <cellStyles count="1">
    <cellStyle name="Normal" xfId="0" builtinId="0"/>
  </cellStyles>
  <dxfs count="231"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0" indent="0" justifyLastLine="0" shrinkToFit="0" readingOrder="2"/>
    </dxf>
    <dxf>
      <alignment horizontal="general" vertical="bottom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alignment horizontal="general" vertical="bottom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alignment horizontal="general" vertical="bottom" textRotation="0" wrapText="0" indent="0" justifyLastLine="0" shrinkToFit="0" readingOrder="2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2"/>
    </dxf>
    <dxf>
      <numFmt numFmtId="1" formatCode="0"/>
      <alignment textRotation="0" indent="0" justifyLastLine="0" shrinkToFit="0" readingOrder="2"/>
    </dxf>
    <dxf>
      <alignment textRotation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border outline="0">
        <top style="thin">
          <color theme="4" tint="0.39997558519241921"/>
        </top>
      </border>
    </dxf>
    <dxf>
      <alignment textRotation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numFmt numFmtId="0" formatCode="General"/>
      <alignment horizontal="general" vertical="bottom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horizontal="general" vertical="center" textRotation="0" indent="0" justifyLastLine="0" shrinkToFit="0" readingOrder="2"/>
    </dxf>
    <dxf>
      <alignment textRotation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border outline="0">
        <top style="thin">
          <color theme="4" tint="0.39997558519241921"/>
        </top>
      </border>
    </dxf>
    <dxf>
      <alignment textRotation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numFmt numFmtId="25" formatCode="hh:mm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10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alignment textRotation="0" indent="0" justifyLastLine="0" shrinkToFit="0" readingOrder="2"/>
    </dxf>
    <dxf>
      <alignment horizont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/>
      </border>
    </dxf>
    <dxf>
      <numFmt numFmtId="25" formatCode="hh:mm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numFmt numFmtId="165" formatCode="[$-F400]h:mm:ss\ AM/P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general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general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bottom" textRotation="0" wrapText="0" indent="0" justifyLastLine="0" shrinkToFit="0" readingOrder="2"/>
    </dxf>
    <dxf>
      <alignment horizontal="center" vertical="bottom" textRotation="0" wrapText="0" indent="0" justifyLastLine="0" shrinkToFit="0" readingOrder="2"/>
    </dxf>
    <dxf>
      <alignment textRotation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1000000]h:mm;@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[$-1000000]h:mm;@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indent="0" justifyLastLine="0" shrinkToFit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2"/>
    </dxf>
    <dxf>
      <alignment horizontal="right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1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justifyLastLine="0" shrinkToFit="0" readingOrder="0"/>
    </dxf>
    <dxf>
      <fill>
        <patternFill patternType="solid">
          <bgColor rgb="FFC00000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52101</xdr:colOff>
      <xdr:row>0</xdr:row>
      <xdr:rowOff>82147</xdr:rowOff>
    </xdr:from>
    <xdr:to>
      <xdr:col>4</xdr:col>
      <xdr:colOff>1157652</xdr:colOff>
      <xdr:row>5</xdr:row>
      <xdr:rowOff>152803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1B164A64-C65B-4519-928C-D609791CE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9</xdr:col>
      <xdr:colOff>91890</xdr:colOff>
      <xdr:row>0</xdr:row>
      <xdr:rowOff>82147</xdr:rowOff>
    </xdr:from>
    <xdr:to>
      <xdr:col>9</xdr:col>
      <xdr:colOff>1197441</xdr:colOff>
      <xdr:row>5</xdr:row>
      <xdr:rowOff>152803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41FDDC3F-1E8A-49FC-8BE3-6C5298118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46021642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14</xdr:col>
      <xdr:colOff>34236</xdr:colOff>
      <xdr:row>0</xdr:row>
      <xdr:rowOff>82147</xdr:rowOff>
    </xdr:from>
    <xdr:to>
      <xdr:col>14</xdr:col>
      <xdr:colOff>1139787</xdr:colOff>
      <xdr:row>5</xdr:row>
      <xdr:rowOff>152803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78A39EA-5785-4819-96F0-5354CC80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9686963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21</xdr:row>
      <xdr:rowOff>32866</xdr:rowOff>
    </xdr:from>
    <xdr:to>
      <xdr:col>4</xdr:col>
      <xdr:colOff>1157652</xdr:colOff>
      <xdr:row>26</xdr:row>
      <xdr:rowOff>151147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9DA55A38-CFEE-47BC-B220-F116E2372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42</xdr:row>
      <xdr:rowOff>2346</xdr:rowOff>
    </xdr:from>
    <xdr:to>
      <xdr:col>4</xdr:col>
      <xdr:colOff>1157652</xdr:colOff>
      <xdr:row>47</xdr:row>
      <xdr:rowOff>158150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F455FA86-07EB-4E01-87A2-1EDAFDC47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52453764" y="10162346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63</xdr:row>
      <xdr:rowOff>2346</xdr:rowOff>
    </xdr:from>
    <xdr:to>
      <xdr:col>4</xdr:col>
      <xdr:colOff>1157652</xdr:colOff>
      <xdr:row>68</xdr:row>
      <xdr:rowOff>158150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1481402C-8C5D-4B8F-BA9C-9EEDF43F0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84</xdr:row>
      <xdr:rowOff>2346</xdr:rowOff>
    </xdr:from>
    <xdr:to>
      <xdr:col>4</xdr:col>
      <xdr:colOff>1157652</xdr:colOff>
      <xdr:row>89</xdr:row>
      <xdr:rowOff>158150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2B2136F8-C44B-4834-864D-3C27EECC8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105</xdr:row>
      <xdr:rowOff>2346</xdr:rowOff>
    </xdr:from>
    <xdr:to>
      <xdr:col>4</xdr:col>
      <xdr:colOff>1157652</xdr:colOff>
      <xdr:row>110</xdr:row>
      <xdr:rowOff>158150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DC802F8-AF0A-4890-8F41-A62487A1C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126</xdr:row>
      <xdr:rowOff>2346</xdr:rowOff>
    </xdr:from>
    <xdr:to>
      <xdr:col>4</xdr:col>
      <xdr:colOff>1157652</xdr:colOff>
      <xdr:row>131</xdr:row>
      <xdr:rowOff>158150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8A574762-45A7-4951-9D30-4E1304CA2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147</xdr:row>
      <xdr:rowOff>2346</xdr:rowOff>
    </xdr:from>
    <xdr:to>
      <xdr:col>4</xdr:col>
      <xdr:colOff>1157652</xdr:colOff>
      <xdr:row>152</xdr:row>
      <xdr:rowOff>158150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F206DE36-47BF-4292-9788-7FC77FB81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168</xdr:row>
      <xdr:rowOff>2346</xdr:rowOff>
    </xdr:from>
    <xdr:to>
      <xdr:col>4</xdr:col>
      <xdr:colOff>1157652</xdr:colOff>
      <xdr:row>173</xdr:row>
      <xdr:rowOff>158150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2187AB5B-6386-4D76-8595-CBCF5BF0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189</xdr:row>
      <xdr:rowOff>2346</xdr:rowOff>
    </xdr:from>
    <xdr:to>
      <xdr:col>4</xdr:col>
      <xdr:colOff>1157652</xdr:colOff>
      <xdr:row>194</xdr:row>
      <xdr:rowOff>158150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263897E-F6BD-4DE2-930D-25DEE2D3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210</xdr:row>
      <xdr:rowOff>2346</xdr:rowOff>
    </xdr:from>
    <xdr:to>
      <xdr:col>4</xdr:col>
      <xdr:colOff>1157652</xdr:colOff>
      <xdr:row>215</xdr:row>
      <xdr:rowOff>158150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03E1A023-FC0F-4B45-B5D0-F339AD363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231</xdr:row>
      <xdr:rowOff>2346</xdr:rowOff>
    </xdr:from>
    <xdr:to>
      <xdr:col>4</xdr:col>
      <xdr:colOff>1157652</xdr:colOff>
      <xdr:row>236</xdr:row>
      <xdr:rowOff>158150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82697E62-5CCC-4E27-8796-C56DE81A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252</xdr:row>
      <xdr:rowOff>2346</xdr:rowOff>
    </xdr:from>
    <xdr:to>
      <xdr:col>4</xdr:col>
      <xdr:colOff>1157652</xdr:colOff>
      <xdr:row>257</xdr:row>
      <xdr:rowOff>158150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DFAE1A1D-74FF-46BC-8B47-FA17E13A1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273</xdr:row>
      <xdr:rowOff>2346</xdr:rowOff>
    </xdr:from>
    <xdr:to>
      <xdr:col>4</xdr:col>
      <xdr:colOff>1157652</xdr:colOff>
      <xdr:row>278</xdr:row>
      <xdr:rowOff>158150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E29E1B93-9253-47C3-9E38-24AAFA6F0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21</xdr:row>
      <xdr:rowOff>32866</xdr:rowOff>
    </xdr:from>
    <xdr:to>
      <xdr:col>9</xdr:col>
      <xdr:colOff>1157652</xdr:colOff>
      <xdr:row>26</xdr:row>
      <xdr:rowOff>151147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44A11621-76E9-42CE-BEBE-50466C708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21</xdr:row>
      <xdr:rowOff>32866</xdr:rowOff>
    </xdr:from>
    <xdr:to>
      <xdr:col>14</xdr:col>
      <xdr:colOff>1157652</xdr:colOff>
      <xdr:row>26</xdr:row>
      <xdr:rowOff>151147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7A8FD48-50E7-4323-B374-37210822E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42</xdr:row>
      <xdr:rowOff>32866</xdr:rowOff>
    </xdr:from>
    <xdr:to>
      <xdr:col>9</xdr:col>
      <xdr:colOff>1157652</xdr:colOff>
      <xdr:row>47</xdr:row>
      <xdr:rowOff>151147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16669A0A-A48E-459D-AEB7-EACCEBE64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42</xdr:row>
      <xdr:rowOff>32866</xdr:rowOff>
    </xdr:from>
    <xdr:to>
      <xdr:col>14</xdr:col>
      <xdr:colOff>1157652</xdr:colOff>
      <xdr:row>47</xdr:row>
      <xdr:rowOff>151147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B77618C5-E643-4421-A9D3-43D5680AC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63</xdr:row>
      <xdr:rowOff>32866</xdr:rowOff>
    </xdr:from>
    <xdr:to>
      <xdr:col>9</xdr:col>
      <xdr:colOff>1157652</xdr:colOff>
      <xdr:row>68</xdr:row>
      <xdr:rowOff>151147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19019E11-BDED-4781-9E56-EBE1B9146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63</xdr:row>
      <xdr:rowOff>32866</xdr:rowOff>
    </xdr:from>
    <xdr:to>
      <xdr:col>14</xdr:col>
      <xdr:colOff>1157652</xdr:colOff>
      <xdr:row>68</xdr:row>
      <xdr:rowOff>151147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8C881896-29D1-470B-8304-C2892990E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84</xdr:row>
      <xdr:rowOff>32866</xdr:rowOff>
    </xdr:from>
    <xdr:to>
      <xdr:col>9</xdr:col>
      <xdr:colOff>1157652</xdr:colOff>
      <xdr:row>89</xdr:row>
      <xdr:rowOff>151147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E6565F97-A85D-45D2-85C3-F5A4A2D22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84</xdr:row>
      <xdr:rowOff>32866</xdr:rowOff>
    </xdr:from>
    <xdr:to>
      <xdr:col>14</xdr:col>
      <xdr:colOff>1157652</xdr:colOff>
      <xdr:row>89</xdr:row>
      <xdr:rowOff>151147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69063BAA-6474-43CC-B084-341255BA1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105</xdr:row>
      <xdr:rowOff>32866</xdr:rowOff>
    </xdr:from>
    <xdr:to>
      <xdr:col>9</xdr:col>
      <xdr:colOff>1157652</xdr:colOff>
      <xdr:row>110</xdr:row>
      <xdr:rowOff>151147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F29A01C2-5D94-40F5-B2CE-8BD8BA475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105</xdr:row>
      <xdr:rowOff>32866</xdr:rowOff>
    </xdr:from>
    <xdr:to>
      <xdr:col>14</xdr:col>
      <xdr:colOff>1157652</xdr:colOff>
      <xdr:row>110</xdr:row>
      <xdr:rowOff>151147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4B20D62F-1492-49F2-ACBA-F3EB14700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126</xdr:row>
      <xdr:rowOff>32866</xdr:rowOff>
    </xdr:from>
    <xdr:to>
      <xdr:col>9</xdr:col>
      <xdr:colOff>1157652</xdr:colOff>
      <xdr:row>131</xdr:row>
      <xdr:rowOff>151147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4EE0DCCE-CE87-4894-804F-08237896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126</xdr:row>
      <xdr:rowOff>32866</xdr:rowOff>
    </xdr:from>
    <xdr:to>
      <xdr:col>14</xdr:col>
      <xdr:colOff>1157652</xdr:colOff>
      <xdr:row>131</xdr:row>
      <xdr:rowOff>151147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3C72DEFC-7FEC-4342-9CF7-7CFFF364D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147</xdr:row>
      <xdr:rowOff>32866</xdr:rowOff>
    </xdr:from>
    <xdr:to>
      <xdr:col>9</xdr:col>
      <xdr:colOff>1157652</xdr:colOff>
      <xdr:row>152</xdr:row>
      <xdr:rowOff>151147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32F2BD63-FE8B-4653-85E4-F32EF222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147</xdr:row>
      <xdr:rowOff>32866</xdr:rowOff>
    </xdr:from>
    <xdr:to>
      <xdr:col>14</xdr:col>
      <xdr:colOff>1157652</xdr:colOff>
      <xdr:row>152</xdr:row>
      <xdr:rowOff>151147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3835AFE4-AA95-4CE7-A86B-F10FEA46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168</xdr:row>
      <xdr:rowOff>32866</xdr:rowOff>
    </xdr:from>
    <xdr:to>
      <xdr:col>9</xdr:col>
      <xdr:colOff>1157652</xdr:colOff>
      <xdr:row>173</xdr:row>
      <xdr:rowOff>151147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6C135EFE-C32E-4227-AF8D-4736EFA13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168</xdr:row>
      <xdr:rowOff>32866</xdr:rowOff>
    </xdr:from>
    <xdr:to>
      <xdr:col>14</xdr:col>
      <xdr:colOff>1157652</xdr:colOff>
      <xdr:row>173</xdr:row>
      <xdr:rowOff>151147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4C3B9C25-4CC1-4477-8392-31EAE3AEE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189</xdr:row>
      <xdr:rowOff>32866</xdr:rowOff>
    </xdr:from>
    <xdr:to>
      <xdr:col>9</xdr:col>
      <xdr:colOff>1157652</xdr:colOff>
      <xdr:row>194</xdr:row>
      <xdr:rowOff>151147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FA5FC68D-9747-4DF3-8FBE-CFDEB8696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189</xdr:row>
      <xdr:rowOff>32866</xdr:rowOff>
    </xdr:from>
    <xdr:to>
      <xdr:col>14</xdr:col>
      <xdr:colOff>1157652</xdr:colOff>
      <xdr:row>194</xdr:row>
      <xdr:rowOff>151147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5238A6BB-C2A4-4FCD-A19A-4B91DBD67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210</xdr:row>
      <xdr:rowOff>32866</xdr:rowOff>
    </xdr:from>
    <xdr:to>
      <xdr:col>9</xdr:col>
      <xdr:colOff>1157652</xdr:colOff>
      <xdr:row>215</xdr:row>
      <xdr:rowOff>151147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E7697E42-1DD2-4A9A-A722-720254687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210</xdr:row>
      <xdr:rowOff>32866</xdr:rowOff>
    </xdr:from>
    <xdr:to>
      <xdr:col>14</xdr:col>
      <xdr:colOff>1157652</xdr:colOff>
      <xdr:row>215</xdr:row>
      <xdr:rowOff>151147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B2ABAC9-2EAE-499A-AFAD-826B73D2C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231</xdr:row>
      <xdr:rowOff>32866</xdr:rowOff>
    </xdr:from>
    <xdr:to>
      <xdr:col>9</xdr:col>
      <xdr:colOff>1157652</xdr:colOff>
      <xdr:row>236</xdr:row>
      <xdr:rowOff>151147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4F6D9477-D8D8-4DF2-99CD-ADF15E8F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231</xdr:row>
      <xdr:rowOff>32866</xdr:rowOff>
    </xdr:from>
    <xdr:to>
      <xdr:col>14</xdr:col>
      <xdr:colOff>1157652</xdr:colOff>
      <xdr:row>236</xdr:row>
      <xdr:rowOff>151147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BEFE442A-D41C-4037-8786-6E2904C94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252</xdr:row>
      <xdr:rowOff>32866</xdr:rowOff>
    </xdr:from>
    <xdr:to>
      <xdr:col>9</xdr:col>
      <xdr:colOff>1157652</xdr:colOff>
      <xdr:row>257</xdr:row>
      <xdr:rowOff>151147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8072E5FA-F7FC-4D37-AF60-1A90EE4E4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252</xdr:row>
      <xdr:rowOff>32866</xdr:rowOff>
    </xdr:from>
    <xdr:to>
      <xdr:col>14</xdr:col>
      <xdr:colOff>1157652</xdr:colOff>
      <xdr:row>257</xdr:row>
      <xdr:rowOff>151147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95CECB8A-57CF-4F80-8A33-C47C81064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273</xdr:row>
      <xdr:rowOff>32866</xdr:rowOff>
    </xdr:from>
    <xdr:to>
      <xdr:col>9</xdr:col>
      <xdr:colOff>1157652</xdr:colOff>
      <xdr:row>278</xdr:row>
      <xdr:rowOff>151147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233A8AD0-CAC6-4272-A7C9-ED1971294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273</xdr:row>
      <xdr:rowOff>32866</xdr:rowOff>
    </xdr:from>
    <xdr:to>
      <xdr:col>14</xdr:col>
      <xdr:colOff>1157652</xdr:colOff>
      <xdr:row>278</xdr:row>
      <xdr:rowOff>151147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0380E72-54A1-4DAC-AFF1-792E0F5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0</xdr:row>
      <xdr:rowOff>250363</xdr:rowOff>
    </xdr:from>
    <xdr:to>
      <xdr:col>11</xdr:col>
      <xdr:colOff>616349</xdr:colOff>
      <xdr:row>4</xdr:row>
      <xdr:rowOff>205739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E23ADF-A7A8-51FB-F781-C7AE9D38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5036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0</xdr:row>
      <xdr:rowOff>250363</xdr:rowOff>
    </xdr:from>
    <xdr:to>
      <xdr:col>6</xdr:col>
      <xdr:colOff>623969</xdr:colOff>
      <xdr:row>4</xdr:row>
      <xdr:rowOff>205739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AE14D65C-6ACF-4545-9AC1-875FACC5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5036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235123</xdr:rowOff>
    </xdr:from>
    <xdr:to>
      <xdr:col>1</xdr:col>
      <xdr:colOff>616349</xdr:colOff>
      <xdr:row>4</xdr:row>
      <xdr:rowOff>190499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DC9D96C5-375B-4677-93AF-C5363268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3512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822960</xdr:colOff>
      <xdr:row>22</xdr:row>
      <xdr:rowOff>0</xdr:rowOff>
    </xdr:from>
    <xdr:to>
      <xdr:col>6</xdr:col>
      <xdr:colOff>1286909</xdr:colOff>
      <xdr:row>25</xdr:row>
      <xdr:rowOff>206836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294229C3-BB79-4BAA-8E9C-230A3689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1677151" y="58521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22</xdr:row>
      <xdr:rowOff>0</xdr:rowOff>
    </xdr:from>
    <xdr:to>
      <xdr:col>1</xdr:col>
      <xdr:colOff>616349</xdr:colOff>
      <xdr:row>25</xdr:row>
      <xdr:rowOff>206836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7C664A6-92E4-4AB4-AAF7-567ABCEFB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6007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43</xdr:row>
      <xdr:rowOff>0</xdr:rowOff>
    </xdr:from>
    <xdr:to>
      <xdr:col>6</xdr:col>
      <xdr:colOff>623969</xdr:colOff>
      <xdr:row>46</xdr:row>
      <xdr:rowOff>206836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21D017B7-C961-47A9-B1DE-DA054791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114223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43</xdr:row>
      <xdr:rowOff>0</xdr:rowOff>
    </xdr:from>
    <xdr:to>
      <xdr:col>1</xdr:col>
      <xdr:colOff>616349</xdr:colOff>
      <xdr:row>46</xdr:row>
      <xdr:rowOff>206836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4E0D71F6-CDF3-41A0-8482-16BE15E43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109499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64</xdr:row>
      <xdr:rowOff>0</xdr:rowOff>
    </xdr:from>
    <xdr:to>
      <xdr:col>6</xdr:col>
      <xdr:colOff>623969</xdr:colOff>
      <xdr:row>67</xdr:row>
      <xdr:rowOff>206836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E5D09BE7-0E14-4FE8-87A8-7846B5CC2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170078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64</xdr:row>
      <xdr:rowOff>0</xdr:rowOff>
    </xdr:from>
    <xdr:to>
      <xdr:col>1</xdr:col>
      <xdr:colOff>616349</xdr:colOff>
      <xdr:row>67</xdr:row>
      <xdr:rowOff>206836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F7AE858-EBCF-4ADA-8598-D7CBAD9D5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162991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85</xdr:row>
      <xdr:rowOff>0</xdr:rowOff>
    </xdr:from>
    <xdr:to>
      <xdr:col>6</xdr:col>
      <xdr:colOff>623969</xdr:colOff>
      <xdr:row>88</xdr:row>
      <xdr:rowOff>206836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FCCE684C-40C1-4C36-9821-D98CD96D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25933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85</xdr:row>
      <xdr:rowOff>0</xdr:rowOff>
    </xdr:from>
    <xdr:to>
      <xdr:col>1</xdr:col>
      <xdr:colOff>616349</xdr:colOff>
      <xdr:row>88</xdr:row>
      <xdr:rowOff>206836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29F80ACD-B0A7-42DF-96FD-26E6005FB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16484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106</xdr:row>
      <xdr:rowOff>0</xdr:rowOff>
    </xdr:from>
    <xdr:to>
      <xdr:col>6</xdr:col>
      <xdr:colOff>623969</xdr:colOff>
      <xdr:row>109</xdr:row>
      <xdr:rowOff>206836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DD575E35-D49E-4292-81D7-806B8CF02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81787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106</xdr:row>
      <xdr:rowOff>0</xdr:rowOff>
    </xdr:from>
    <xdr:to>
      <xdr:col>1</xdr:col>
      <xdr:colOff>616349</xdr:colOff>
      <xdr:row>109</xdr:row>
      <xdr:rowOff>206836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9D7B456B-DFA8-44B6-B052-477B411B7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69976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127</xdr:row>
      <xdr:rowOff>0</xdr:rowOff>
    </xdr:from>
    <xdr:to>
      <xdr:col>6</xdr:col>
      <xdr:colOff>623969</xdr:colOff>
      <xdr:row>130</xdr:row>
      <xdr:rowOff>206836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977888A6-C9CE-45B7-81C2-7CA17AF9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337642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127</xdr:row>
      <xdr:rowOff>0</xdr:rowOff>
    </xdr:from>
    <xdr:to>
      <xdr:col>1</xdr:col>
      <xdr:colOff>616349</xdr:colOff>
      <xdr:row>130</xdr:row>
      <xdr:rowOff>206836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4134F555-2375-4D99-8142-BA67ED51A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323469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148</xdr:row>
      <xdr:rowOff>0</xdr:rowOff>
    </xdr:from>
    <xdr:to>
      <xdr:col>6</xdr:col>
      <xdr:colOff>623969</xdr:colOff>
      <xdr:row>151</xdr:row>
      <xdr:rowOff>206836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30A56AB4-5986-4DC8-B37B-FB4D0D575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393496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148</xdr:row>
      <xdr:rowOff>0</xdr:rowOff>
    </xdr:from>
    <xdr:to>
      <xdr:col>1</xdr:col>
      <xdr:colOff>616349</xdr:colOff>
      <xdr:row>151</xdr:row>
      <xdr:rowOff>206836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4AC35065-2079-4E00-9095-6FC85999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37696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169</xdr:row>
      <xdr:rowOff>0</xdr:rowOff>
    </xdr:from>
    <xdr:to>
      <xdr:col>11</xdr:col>
      <xdr:colOff>616349</xdr:colOff>
      <xdr:row>172</xdr:row>
      <xdr:rowOff>206836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42ADB1DB-DF6D-4C1A-8E20-1434BB7E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44935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169</xdr:row>
      <xdr:rowOff>0</xdr:rowOff>
    </xdr:from>
    <xdr:to>
      <xdr:col>6</xdr:col>
      <xdr:colOff>623969</xdr:colOff>
      <xdr:row>172</xdr:row>
      <xdr:rowOff>206836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4A7F0AB3-4FA5-4CC2-84CD-42855909D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44935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169</xdr:row>
      <xdr:rowOff>0</xdr:rowOff>
    </xdr:from>
    <xdr:to>
      <xdr:col>1</xdr:col>
      <xdr:colOff>616349</xdr:colOff>
      <xdr:row>172</xdr:row>
      <xdr:rowOff>206836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B319D918-52EE-45FF-AC72-D0A97489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430453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190</xdr:row>
      <xdr:rowOff>0</xdr:rowOff>
    </xdr:from>
    <xdr:to>
      <xdr:col>11</xdr:col>
      <xdr:colOff>616349</xdr:colOff>
      <xdr:row>193</xdr:row>
      <xdr:rowOff>206836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211E8EC1-67E3-4A3B-821C-B62482C3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05206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190</xdr:row>
      <xdr:rowOff>0</xdr:rowOff>
    </xdr:from>
    <xdr:to>
      <xdr:col>6</xdr:col>
      <xdr:colOff>623969</xdr:colOff>
      <xdr:row>193</xdr:row>
      <xdr:rowOff>206836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0FC45DB8-9D1E-46BB-98FA-E6EE0E770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05206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190</xdr:row>
      <xdr:rowOff>0</xdr:rowOff>
    </xdr:from>
    <xdr:to>
      <xdr:col>1</xdr:col>
      <xdr:colOff>616349</xdr:colOff>
      <xdr:row>193</xdr:row>
      <xdr:rowOff>206836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DCE02EF2-04EE-4417-A034-7D76A4438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483946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211</xdr:row>
      <xdr:rowOff>0</xdr:rowOff>
    </xdr:from>
    <xdr:to>
      <xdr:col>11</xdr:col>
      <xdr:colOff>616349</xdr:colOff>
      <xdr:row>214</xdr:row>
      <xdr:rowOff>206836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FF54DA02-2B61-42A9-8B4B-1599C8C8A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61060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211</xdr:row>
      <xdr:rowOff>0</xdr:rowOff>
    </xdr:from>
    <xdr:to>
      <xdr:col>6</xdr:col>
      <xdr:colOff>623969</xdr:colOff>
      <xdr:row>214</xdr:row>
      <xdr:rowOff>206836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9757E9F6-1FA9-4006-B49E-E0F8E3DA5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61060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211</xdr:row>
      <xdr:rowOff>0</xdr:rowOff>
    </xdr:from>
    <xdr:to>
      <xdr:col>1</xdr:col>
      <xdr:colOff>616349</xdr:colOff>
      <xdr:row>214</xdr:row>
      <xdr:rowOff>206836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4943625-B010-478F-B559-0B54FE1EF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37438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232</xdr:row>
      <xdr:rowOff>0</xdr:rowOff>
    </xdr:from>
    <xdr:to>
      <xdr:col>11</xdr:col>
      <xdr:colOff>616349</xdr:colOff>
      <xdr:row>235</xdr:row>
      <xdr:rowOff>206836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2F67178C-9CF9-4819-8052-3BFC65010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61691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232</xdr:row>
      <xdr:rowOff>0</xdr:rowOff>
    </xdr:from>
    <xdr:to>
      <xdr:col>6</xdr:col>
      <xdr:colOff>623969</xdr:colOff>
      <xdr:row>235</xdr:row>
      <xdr:rowOff>206836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649EA44E-5D90-4708-B0B9-1324C18A1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61691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232</xdr:row>
      <xdr:rowOff>0</xdr:rowOff>
    </xdr:from>
    <xdr:to>
      <xdr:col>1</xdr:col>
      <xdr:colOff>616349</xdr:colOff>
      <xdr:row>235</xdr:row>
      <xdr:rowOff>206836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FFD90DB4-48FE-459E-8ECA-B4364E872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90931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253</xdr:row>
      <xdr:rowOff>0</xdr:rowOff>
    </xdr:from>
    <xdr:to>
      <xdr:col>11</xdr:col>
      <xdr:colOff>616349</xdr:colOff>
      <xdr:row>256</xdr:row>
      <xdr:rowOff>206836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0F62B5A1-93E8-4430-8834-847B2F5D2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67276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253</xdr:row>
      <xdr:rowOff>0</xdr:rowOff>
    </xdr:from>
    <xdr:to>
      <xdr:col>6</xdr:col>
      <xdr:colOff>623969</xdr:colOff>
      <xdr:row>256</xdr:row>
      <xdr:rowOff>206836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2AC2D39-96C6-4CFE-80A8-1043B0DCA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67276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253</xdr:row>
      <xdr:rowOff>0</xdr:rowOff>
    </xdr:from>
    <xdr:to>
      <xdr:col>1</xdr:col>
      <xdr:colOff>616349</xdr:colOff>
      <xdr:row>256</xdr:row>
      <xdr:rowOff>206836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DBBE71E-45EE-46A2-BE44-CE59AF683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644423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274</xdr:row>
      <xdr:rowOff>0</xdr:rowOff>
    </xdr:from>
    <xdr:to>
      <xdr:col>11</xdr:col>
      <xdr:colOff>616349</xdr:colOff>
      <xdr:row>277</xdr:row>
      <xdr:rowOff>206836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A52A124A-5351-4DBF-9C26-C98E9DBCD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72862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274</xdr:row>
      <xdr:rowOff>0</xdr:rowOff>
    </xdr:from>
    <xdr:to>
      <xdr:col>6</xdr:col>
      <xdr:colOff>623969</xdr:colOff>
      <xdr:row>277</xdr:row>
      <xdr:rowOff>206836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E5F7F2C4-5306-48E4-9683-EFB38551A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72862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274</xdr:row>
      <xdr:rowOff>0</xdr:rowOff>
    </xdr:from>
    <xdr:to>
      <xdr:col>1</xdr:col>
      <xdr:colOff>616349</xdr:colOff>
      <xdr:row>277</xdr:row>
      <xdr:rowOff>206836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729992B7-C026-4F15-9F7B-C9555C379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697915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822960</xdr:colOff>
      <xdr:row>21</xdr:row>
      <xdr:rowOff>228600</xdr:rowOff>
    </xdr:from>
    <xdr:to>
      <xdr:col>11</xdr:col>
      <xdr:colOff>1286909</xdr:colOff>
      <xdr:row>25</xdr:row>
      <xdr:rowOff>183976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1BEDD51-B814-47C6-713A-0D295DFD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5230631" y="58293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42</xdr:row>
      <xdr:rowOff>228600</xdr:rowOff>
    </xdr:from>
    <xdr:to>
      <xdr:col>11</xdr:col>
      <xdr:colOff>616349</xdr:colOff>
      <xdr:row>46</xdr:row>
      <xdr:rowOff>183976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E7F01566-5A28-F295-4EE5-3AECA31EC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11399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63</xdr:row>
      <xdr:rowOff>228600</xdr:rowOff>
    </xdr:from>
    <xdr:to>
      <xdr:col>11</xdr:col>
      <xdr:colOff>616349</xdr:colOff>
      <xdr:row>67</xdr:row>
      <xdr:rowOff>183976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4A51B83-24AF-6CE2-8E88-2726FDBB5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16984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84</xdr:row>
      <xdr:rowOff>228600</xdr:rowOff>
    </xdr:from>
    <xdr:to>
      <xdr:col>11</xdr:col>
      <xdr:colOff>616349</xdr:colOff>
      <xdr:row>88</xdr:row>
      <xdr:rowOff>183976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A9B7985A-4996-E4D0-9E04-AF1FCBA86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2570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105</xdr:row>
      <xdr:rowOff>228600</xdr:rowOff>
    </xdr:from>
    <xdr:to>
      <xdr:col>11</xdr:col>
      <xdr:colOff>616349</xdr:colOff>
      <xdr:row>109</xdr:row>
      <xdr:rowOff>183976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FDD73DDC-C40F-0F5E-B507-BC61CDEA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81559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126</xdr:row>
      <xdr:rowOff>228600</xdr:rowOff>
    </xdr:from>
    <xdr:to>
      <xdr:col>11</xdr:col>
      <xdr:colOff>616349</xdr:colOff>
      <xdr:row>130</xdr:row>
      <xdr:rowOff>183976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D3CAFA57-E01B-A950-6299-203F8F69C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337413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147</xdr:row>
      <xdr:rowOff>228600</xdr:rowOff>
    </xdr:from>
    <xdr:to>
      <xdr:col>11</xdr:col>
      <xdr:colOff>616349</xdr:colOff>
      <xdr:row>151</xdr:row>
      <xdr:rowOff>183976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87714FC2-4D0F-AB6F-8309-98092A315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39326820"/>
          <a:ext cx="1408829" cy="961216"/>
        </a:xfrm>
        <a:prstGeom prst="rect">
          <a:avLst/>
        </a:prstGeom>
      </xdr:spPr>
    </xdr:pic>
    <xdr:clientData/>
  </xdr:twoCellAnchor>
  <xdr:twoCellAnchor>
    <xdr:from>
      <xdr:col>19</xdr:col>
      <xdr:colOff>34236</xdr:colOff>
      <xdr:row>0</xdr:row>
      <xdr:rowOff>82147</xdr:rowOff>
    </xdr:from>
    <xdr:to>
      <xdr:col>19</xdr:col>
      <xdr:colOff>1139787</xdr:colOff>
      <xdr:row>5</xdr:row>
      <xdr:rowOff>152803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0D045270-195E-46CA-BF9A-379C55726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62953" y="82147"/>
          <a:ext cx="1105551" cy="1327956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21</xdr:row>
      <xdr:rowOff>32866</xdr:rowOff>
    </xdr:from>
    <xdr:to>
      <xdr:col>19</xdr:col>
      <xdr:colOff>1157652</xdr:colOff>
      <xdr:row>26</xdr:row>
      <xdr:rowOff>151147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753ADD1F-4637-4C0F-AFFD-E68F4E562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56335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42</xdr:row>
      <xdr:rowOff>32866</xdr:rowOff>
    </xdr:from>
    <xdr:to>
      <xdr:col>19</xdr:col>
      <xdr:colOff>1157652</xdr:colOff>
      <xdr:row>47</xdr:row>
      <xdr:rowOff>151147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80DB9A8E-AC86-408E-B353-A1EAA5FE3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112342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63</xdr:row>
      <xdr:rowOff>32866</xdr:rowOff>
    </xdr:from>
    <xdr:to>
      <xdr:col>19</xdr:col>
      <xdr:colOff>1157652</xdr:colOff>
      <xdr:row>68</xdr:row>
      <xdr:rowOff>151147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80D39891-ABCC-4499-8D1B-D6DE1517F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168349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84</xdr:row>
      <xdr:rowOff>32866</xdr:rowOff>
    </xdr:from>
    <xdr:to>
      <xdr:col>19</xdr:col>
      <xdr:colOff>1157652</xdr:colOff>
      <xdr:row>89</xdr:row>
      <xdr:rowOff>151147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6FE45BE3-62D1-4F7F-81BB-E532FB775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224356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105</xdr:row>
      <xdr:rowOff>32866</xdr:rowOff>
    </xdr:from>
    <xdr:to>
      <xdr:col>19</xdr:col>
      <xdr:colOff>1157652</xdr:colOff>
      <xdr:row>110</xdr:row>
      <xdr:rowOff>151147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CABE1528-5342-4C4B-B350-F05DF2EBA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28036366"/>
          <a:ext cx="1105551" cy="1375581"/>
        </a:xfrm>
        <a:prstGeom prst="rect">
          <a:avLst/>
        </a:prstGeom>
      </xdr:spPr>
    </xdr:pic>
    <xdr:clientData/>
  </xdr:twoCellAnchor>
  <xdr:oneCellAnchor>
    <xdr:from>
      <xdr:col>15</xdr:col>
      <xdr:colOff>152400</xdr:colOff>
      <xdr:row>0</xdr:row>
      <xdr:rowOff>250363</xdr:rowOff>
    </xdr:from>
    <xdr:ext cx="1408829" cy="961216"/>
    <xdr:pic>
      <xdr:nvPicPr>
        <xdr:cNvPr id="97" name="Picture 96">
          <a:extLst>
            <a:ext uri="{FF2B5EF4-FFF2-40B4-BE49-F238E27FC236}">
              <a16:creationId xmlns:a16="http://schemas.microsoft.com/office/drawing/2014/main" id="{F216BC4E-2D1E-4486-AFA4-E0AB24646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250363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21</xdr:row>
      <xdr:rowOff>228600</xdr:rowOff>
    </xdr:from>
    <xdr:ext cx="1408829" cy="961216"/>
    <xdr:pic>
      <xdr:nvPicPr>
        <xdr:cNvPr id="99" name="Picture 98">
          <a:extLst>
            <a:ext uri="{FF2B5EF4-FFF2-40B4-BE49-F238E27FC236}">
              <a16:creationId xmlns:a16="http://schemas.microsoft.com/office/drawing/2014/main" id="{AEB2B673-791F-4293-B3A9-00BB1E8D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581406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42</xdr:row>
      <xdr:rowOff>228600</xdr:rowOff>
    </xdr:from>
    <xdr:ext cx="1408829" cy="961216"/>
    <xdr:pic>
      <xdr:nvPicPr>
        <xdr:cNvPr id="101" name="Picture 100">
          <a:extLst>
            <a:ext uri="{FF2B5EF4-FFF2-40B4-BE49-F238E27FC236}">
              <a16:creationId xmlns:a16="http://schemas.microsoft.com/office/drawing/2014/main" id="{DD6CF625-CBBE-4255-B878-C32E7167D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1139952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63</xdr:row>
      <xdr:rowOff>228600</xdr:rowOff>
    </xdr:from>
    <xdr:ext cx="1408829" cy="961216"/>
    <xdr:pic>
      <xdr:nvPicPr>
        <xdr:cNvPr id="103" name="Picture 102">
          <a:extLst>
            <a:ext uri="{FF2B5EF4-FFF2-40B4-BE49-F238E27FC236}">
              <a16:creationId xmlns:a16="http://schemas.microsoft.com/office/drawing/2014/main" id="{0C37E548-4F40-4AFB-B525-C90A7D4CD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1698498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84</xdr:row>
      <xdr:rowOff>228600</xdr:rowOff>
    </xdr:from>
    <xdr:ext cx="1408829" cy="961216"/>
    <xdr:pic>
      <xdr:nvPicPr>
        <xdr:cNvPr id="105" name="Picture 104">
          <a:extLst>
            <a:ext uri="{FF2B5EF4-FFF2-40B4-BE49-F238E27FC236}">
              <a16:creationId xmlns:a16="http://schemas.microsoft.com/office/drawing/2014/main" id="{90D70976-E240-4F68-9FDA-F4FC7EDF2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2257044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105</xdr:row>
      <xdr:rowOff>228600</xdr:rowOff>
    </xdr:from>
    <xdr:ext cx="1408829" cy="961216"/>
    <xdr:pic>
      <xdr:nvPicPr>
        <xdr:cNvPr id="107" name="Picture 106">
          <a:extLst>
            <a:ext uri="{FF2B5EF4-FFF2-40B4-BE49-F238E27FC236}">
              <a16:creationId xmlns:a16="http://schemas.microsoft.com/office/drawing/2014/main" id="{9255CF58-5AD7-44A3-A999-0260A2EB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28155900"/>
          <a:ext cx="1408829" cy="961216"/>
        </a:xfrm>
        <a:prstGeom prst="rect">
          <a:avLst/>
        </a:prstGeom>
      </xdr:spPr>
    </xdr:pic>
    <xdr:clientData/>
  </xdr:oneCellAnchor>
  <xdr:twoCellAnchor editAs="oneCell">
    <xdr:from>
      <xdr:col>5</xdr:col>
      <xdr:colOff>160020</xdr:colOff>
      <xdr:row>22</xdr:row>
      <xdr:rowOff>0</xdr:rowOff>
    </xdr:from>
    <xdr:to>
      <xdr:col>6</xdr:col>
      <xdr:colOff>623969</xdr:colOff>
      <xdr:row>25</xdr:row>
      <xdr:rowOff>206836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4CA047-F0CC-4CA8-A92B-695B5A264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8369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21</xdr:row>
      <xdr:rowOff>228600</xdr:rowOff>
    </xdr:from>
    <xdr:to>
      <xdr:col>11</xdr:col>
      <xdr:colOff>616349</xdr:colOff>
      <xdr:row>25</xdr:row>
      <xdr:rowOff>183976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131246-B9A4-8509-BD31-8564559EB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814060"/>
          <a:ext cx="1408829" cy="9612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ANEK\Users\user\OneDrive\Documents\My%20Documents\FIRST\Tournament%20Management%20Files\Scheduler\Season%202021-2022\Graphic%20Scheduler%20Files\6%20judging%20rounds\43-44%20teams%20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cheduler"/>
      <sheetName val="Table Names"/>
    </sheetNames>
    <sheetDataSet>
      <sheetData sheetId="0">
        <row r="98">
          <cell r="F98">
            <v>1.8749999999999999E-2</v>
          </cell>
        </row>
        <row r="99">
          <cell r="F99">
            <v>1.2499999999999999E-2</v>
          </cell>
        </row>
        <row r="105">
          <cell r="F105">
            <v>2.0833333333333333E-3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209EC-7D11-4CA5-AA5D-548DAB4D3E8C}" name="TeamList" displayName="TeamList" ref="A2:F50" totalsRowShown="0" headerRowDxfId="226" dataDxfId="225" tableBorderDxfId="224">
  <autoFilter ref="A2:F50" xr:uid="{3FE90BCF-FF39-4490-863B-B0C0B7E27E5D}"/>
  <sortState xmlns:xlrd2="http://schemas.microsoft.com/office/spreadsheetml/2017/richdata2" ref="B3:F44">
    <sortCondition ref="B2:B44"/>
  </sortState>
  <tableColumns count="6">
    <tableColumn id="13" xr3:uid="{BCF41117-B7EC-41FB-8122-2CBE9826E8B7}" name="מס&quot;ד" dataDxfId="223"/>
    <tableColumn id="1" xr3:uid="{39376800-82CD-4269-B96D-4D664B5AA67E}" name="מס' הקבוצה" dataDxfId="222"/>
    <tableColumn id="2" xr3:uid="{2D8F4A71-0BFE-4EDA-A0A9-135612DFADB7}" name="שם הקבוצה" dataDxfId="221"/>
    <tableColumn id="7" xr3:uid="{9D0F72C3-024C-43E8-93F7-66237EA72A44}" name="ישוב" dataDxfId="220"/>
    <tableColumn id="3" xr3:uid="{85F8BBBD-8CE3-4116-932C-FBAFA9DC64A0}" name="חדר שיפוט" dataDxfId="219">
      <calculatedColumnFormula>IFERROR(_xlfn.XLOOKUP(TeamList[[#This Row],[מס'' הקבוצה]],TimeTable[מס'' הקבוצה],TimeTable[מס'' החדר שיפוט]),"")</calculatedColumnFormula>
    </tableColumn>
    <tableColumn id="6" xr3:uid="{3E35F9DE-C29E-4B57-B3CE-58EBC2AA3870}" name="דרוש תרגום" dataDxfId="2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289336C-B216-4A42-AFD5-C29C778765E3}" name="TeamList2" displayName="TeamList2" ref="A1:B48" totalsRowShown="0" dataDxfId="217" tableBorderDxfId="216">
  <sortState xmlns:xlrd2="http://schemas.microsoft.com/office/spreadsheetml/2017/richdata2" ref="A2:B43">
    <sortCondition ref="A2:A44"/>
  </sortState>
  <tableColumns count="2">
    <tableColumn id="13" xr3:uid="{03E392A6-3B3E-452B-8C67-AEC0F3A7B528}" name="מס&quot;ד" dataDxfId="215"/>
    <tableColumn id="1" xr3:uid="{522A0273-0DC9-483F-9123-91F08CEC3646}" name="מס' הקבוצה" dataDxfId="2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7CE2C8-C818-4329-BA12-BA3CE5ABCA4A}" name="HRGame1Table" displayName="HRGame1Table" ref="B3:L15" totalsRowShown="0" headerRowDxfId="213" dataDxfId="212" tableBorderDxfId="211">
  <tableColumns count="11">
    <tableColumn id="1" xr3:uid="{3008A139-BDA4-4DC0-AB38-9C25A54F97F9}" name="#" dataDxfId="210"/>
    <tableColumn id="2" xr3:uid="{64F35A95-0111-4B10-868D-416444FCCCCE}" name="התחלה" dataDxfId="209"/>
    <tableColumn id="3" xr3:uid="{54466705-1366-434E-80A1-2D3388E29BF2}" name="סיום" dataDxfId="208"/>
    <tableColumn id="4" xr3:uid="{AB6ACF65-70F3-4B11-83C7-0904257CD467}" name="1 אדום" dataDxfId="207">
      <calculatedColumnFormula>IFERROR(INDEX(OFFSET('תכנית לפי קבוצות'!$C$62,$A4*4,0,4,4),MATCH(E$1,OFFSET('תכנית לפי קבוצות'!$F$62,$A4*4,0,4,1),0),1),"")</calculatedColumnFormula>
    </tableColumn>
    <tableColumn id="5" xr3:uid="{5B63D373-9FB7-489C-9851-73E2AE9ECEA2}" name="2 אדום" dataDxfId="206">
      <calculatedColumnFormula>IFERROR(INDEX(OFFSET('תכנית לפי קבוצות'!$C$62,$A4*4,0,4,4),MATCH(F$1,OFFSET('תכנית לפי קבוצות'!$F$62,$A4*4,0,4,1),0),1),"")</calculatedColumnFormula>
    </tableColumn>
    <tableColumn id="6" xr3:uid="{9B64B1D5-F8A5-490B-A7D9-DB273022F08F}" name="3 אדום" dataDxfId="205">
      <calculatedColumnFormula>IFERROR(INDEX(OFFSET('תכנית לפי קבוצות'!$C$62,$A4*4,0,4,4),MATCH(G$1,OFFSET('תכנית לפי קבוצות'!$F$62,$A4*4,0,4,1),0),1),"")</calculatedColumnFormula>
    </tableColumn>
    <tableColumn id="7" xr3:uid="{A0A1D7D4-4EA4-4E16-AE17-33733436A551}" name="4 אדום" dataDxfId="204">
      <calculatedColumnFormula>IFERROR(INDEX(OFFSET('תכנית לפי קבוצות'!$C$62,$A4*4,0,4,4),MATCH(H$1,OFFSET('תכנית לפי קבוצות'!$F$62,$A4*4,0,4,1),0),1),"")</calculatedColumnFormula>
    </tableColumn>
    <tableColumn id="8" xr3:uid="{2834EBEA-FAE4-4AFA-8B08-1345DA0B311A}" name="5 אדום" dataDxfId="203">
      <calculatedColumnFormula>IFERROR(INDEX(OFFSET('תכנית לפי קבוצות'!$C$62,$A4*4,0,4,4),MATCH(I$1,OFFSET('תכנית לפי קבוצות'!$F$62,$A4*4,0,4,1),0),1),"")</calculatedColumnFormula>
    </tableColumn>
    <tableColumn id="9" xr3:uid="{00137351-B515-4E49-B19E-1F52BEC3E344}" name="6 אדום" dataDxfId="202">
      <calculatedColumnFormula>IFERROR(INDEX(OFFSET('תכנית לפי קבוצות'!$C$62,$A4*4,0,4,4),MATCH(J$1,OFFSET('תכנית לפי קבוצות'!$F$62,$A4*4,0,4,1),0),1),"")</calculatedColumnFormula>
    </tableColumn>
    <tableColumn id="10" xr3:uid="{AD0C51BC-BC6A-429F-8F15-DEF4CCF5213E}" name="7 אדום" dataDxfId="201">
      <calculatedColumnFormula>IFERROR(INDEX(OFFSET('תכנית לפי קבוצות'!$C$62,$A4*4,0,4,4),MATCH(K$1,OFFSET('תכנית לפי קבוצות'!$F$62,$A4*4,0,4,1),0),1),"")</calculatedColumnFormula>
    </tableColumn>
    <tableColumn id="11" xr3:uid="{A8745C40-E0FC-4E75-A59E-C31DF2F75FBA}" name="8 אדום" dataDxfId="200">
      <calculatedColumnFormula>IFERROR(INDEX(OFFSET('תכנית לפי קבוצות'!$C$62,$A4*4,0,4,4),MATCH(L$1,OFFSET('תכנית לפי קבוצות'!$F$62,$A4*4,0,4,1),0),1),"")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15E755-1077-4A77-A68B-18B0AB24D512}" name="HRPracticeTable" displayName="HRPracticeTable" ref="O3:Y15" totalsRowShown="0" headerRowDxfId="199" dataDxfId="198" tableBorderDxfId="197">
  <autoFilter ref="O3:Y15" xr:uid="{5A1DFE99-44D2-44FB-B37C-13369C3727D7}"/>
  <tableColumns count="11">
    <tableColumn id="1" xr3:uid="{39334C47-365F-4FEF-8328-FE9A533D9BD1}" name="#" dataDxfId="196"/>
    <tableColumn id="2" xr3:uid="{6C8E4B13-3421-4921-A71D-68EBC8727458}" name="התחלה" dataDxfId="195"/>
    <tableColumn id="3" xr3:uid="{AC626F98-60B9-4A64-B5A4-A2B3938EBA04}" name="סיום" dataDxfId="194"/>
    <tableColumn id="4" xr3:uid="{3B41CCBA-0178-45D8-928F-5B919E21C072}" name="1 אדום" dataDxfId="193">
      <calculatedColumnFormula>IFERROR(INDEX(OFFSET('תכנית לפי קבוצות'!$L$62,$A4*4,0,4,4),MATCH(R$1,OFFSET('תכנית לפי קבוצות'!$O$62,$A4*4,0,4,1),0),1),"")</calculatedColumnFormula>
    </tableColumn>
    <tableColumn id="5" xr3:uid="{95E154FC-578A-44BD-B118-DCD7B3F46C71}" name="2 אדום" dataDxfId="192">
      <calculatedColumnFormula>IFERROR(INDEX(OFFSET('תכנית לפי קבוצות'!$L$62,$A4*4,0,4,4),MATCH(S$1,OFFSET('תכנית לפי קבוצות'!$O$62,$A4*4,0,4,1),0),1),"")</calculatedColumnFormula>
    </tableColumn>
    <tableColumn id="6" xr3:uid="{FC09FA3B-C68A-4B87-8F0A-CF2E934D3C87}" name="3 אדום" dataDxfId="191">
      <calculatedColumnFormula>IFERROR(INDEX(OFFSET('תכנית לפי קבוצות'!$L$62,$A4*4,0,4,4),MATCH(T$1,OFFSET('תכנית לפי קבוצות'!$O$62,$A4*4,0,4,1),0),1),"")</calculatedColumnFormula>
    </tableColumn>
    <tableColumn id="7" xr3:uid="{039B567A-BD6E-43DB-B708-305B10E841C9}" name="4 אדום" dataDxfId="190">
      <calculatedColumnFormula>IFERROR(INDEX(OFFSET('תכנית לפי קבוצות'!$L$62,$A4*4,0,4,4),MATCH(U$1,OFFSET('תכנית לפי קבוצות'!$O$62,$A4*4,0,4,1),0),1),"")</calculatedColumnFormula>
    </tableColumn>
    <tableColumn id="8" xr3:uid="{F793D6D2-BE83-4410-B329-DD78F59E8964}" name="5 אדום" dataDxfId="189">
      <calculatedColumnFormula>IFERROR(INDEX(OFFSET('תכנית לפי קבוצות'!$L$62,$A4*4,0,4,4),MATCH(V$1,OFFSET('תכנית לפי קבוצות'!$O$62,$A4*4,0,4,1),0),1),"")</calculatedColumnFormula>
    </tableColumn>
    <tableColumn id="9" xr3:uid="{5F2AEC0D-5757-452D-883F-2EA5D3158C91}" name="6 אדום" dataDxfId="188">
      <calculatedColumnFormula>IFERROR(INDEX(OFFSET('תכנית לפי קבוצות'!$L$62,$A4*4,0,4,4),MATCH(W$1,OFFSET('תכנית לפי קבוצות'!$O$62,$A4*4,0,4,1),0),1),"")</calculatedColumnFormula>
    </tableColumn>
    <tableColumn id="10" xr3:uid="{FC35F7C3-4AF7-44E9-A144-68DAC3E40952}" name="7 אדום" dataDxfId="187">
      <calculatedColumnFormula>IFERROR(INDEX(OFFSET('תכנית לפי קבוצות'!$L$62,$A4*4,0,4,4),MATCH(X$1,OFFSET('תכנית לפי קבוצות'!$O$62,$A4*4,0,4,1),0),1),"")</calculatedColumnFormula>
    </tableColumn>
    <tableColumn id="11" xr3:uid="{DF9EC02F-1AFF-4376-9876-4AAD736D2579}" name="8 אדום" dataDxfId="186">
      <calculatedColumnFormula>IFERROR(INDEX(OFFSET('תכנית לפי קבוצות'!$L$62,$A4*4,0,4,4),MATCH(Y$1,OFFSET('תכנית לפי קבוצות'!$O$62,$A4*4,0,4,1),0),1),"")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E8D743-219C-4C57-9FDD-74C55F266695}" name="HRGame2Table" displayName="HRGame2Table" ref="B17:L29" totalsRowShown="0" headerRowDxfId="185" dataDxfId="183" headerRowBorderDxfId="184" tableBorderDxfId="182">
  <tableColumns count="11">
    <tableColumn id="1" xr3:uid="{0CA98D9B-64B4-49E9-A464-72CBA26CC542}" name="#" dataDxfId="181">
      <calculatedColumnFormula>B17+1</calculatedColumnFormula>
    </tableColumn>
    <tableColumn id="2" xr3:uid="{268ECF1A-61F5-4AE9-A56A-567511DD482A}" name="התחלה" dataDxfId="180">
      <calculatedColumnFormula>start_round_II+ORM*A18</calculatedColumnFormula>
    </tableColumn>
    <tableColumn id="3" xr3:uid="{B2A0317F-0CC5-437B-939C-B7C273E18706}" name="סיום" dataDxfId="179">
      <calculatedColumnFormula>HRGame2Table[[#This Row],[התחלה]]+TIME(0,3,0)</calculatedColumnFormula>
    </tableColumn>
    <tableColumn id="4" xr3:uid="{AA45497A-C6D6-4651-952A-5F95AD51F0C7}" name="1 אדום" dataDxfId="178">
      <calculatedColumnFormula>IFERROR(INDEX(OFFSET('תכנית לפי קבוצות'!$C$120,$A18*4,0,4,4),MATCH(E$1,OFFSET('תכנית לפי קבוצות'!$F$120,$A18*4,0,4,1),0),1),"")</calculatedColumnFormula>
    </tableColumn>
    <tableColumn id="5" xr3:uid="{285FB6BE-DFE3-4EEE-B933-E13D56F2047E}" name="2 אדום" dataDxfId="177">
      <calculatedColumnFormula>IFERROR(INDEX(OFFSET('תכנית לפי קבוצות'!$C$120,$A18*4,0,4,4),MATCH(F$1,OFFSET('תכנית לפי קבוצות'!$F$120,$A18*4,0,4,1),0),1),"")</calculatedColumnFormula>
    </tableColumn>
    <tableColumn id="6" xr3:uid="{DEC7A6FD-A9D4-431C-9A63-3CF544B6E426}" name="3 אדום" dataDxfId="176">
      <calculatedColumnFormula>IFERROR(INDEX(OFFSET('תכנית לפי קבוצות'!$C$120,$A18*4,0,4,4),MATCH(G$1,OFFSET('תכנית לפי קבוצות'!$F$120,$A18*4,0,4,1),0),1),"")</calculatedColumnFormula>
    </tableColumn>
    <tableColumn id="7" xr3:uid="{AFEFB8A8-BA19-482E-B44F-D427D828C00E}" name="4 אדום" dataDxfId="175">
      <calculatedColumnFormula>IFERROR(INDEX(OFFSET('תכנית לפי קבוצות'!$C$120,$A18*4,0,4,4),MATCH(H$1,OFFSET('תכנית לפי קבוצות'!$F$120,$A18*4,0,4,1),0),1),"")</calculatedColumnFormula>
    </tableColumn>
    <tableColumn id="8" xr3:uid="{911E1CC3-5289-481A-9530-A1E93C8C14FF}" name="5 אדום" dataDxfId="174">
      <calculatedColumnFormula>IFERROR(INDEX(OFFSET('תכנית לפי קבוצות'!$C$120,$A18*4,0,4,4),MATCH(I$1,OFFSET('תכנית לפי קבוצות'!$F$120,$A18*4,0,4,1),0),1),"")</calculatedColumnFormula>
    </tableColumn>
    <tableColumn id="9" xr3:uid="{B600B36E-B725-454B-8A6E-7F0A43FFA265}" name="6 אדום" dataDxfId="173">
      <calculatedColumnFormula>IFERROR(INDEX(OFFSET('תכנית לפי קבוצות'!$C$120,$A18*4,0,4,4),MATCH(J$1,OFFSET('תכנית לפי קבוצות'!$F$120,$A18*4,0,4,1),0),1),"")</calculatedColumnFormula>
    </tableColumn>
    <tableColumn id="10" xr3:uid="{CA1E4AD4-A778-4672-8D91-B3B241916EA3}" name="7 אדום" dataDxfId="172">
      <calculatedColumnFormula>IFERROR(INDEX(OFFSET('תכנית לפי קבוצות'!$C$120,$A18*4,0,4,4),MATCH(K$1,OFFSET('תכנית לפי קבוצות'!$F$120,$A18*4,0,4,1),0),1),"")</calculatedColumnFormula>
    </tableColumn>
    <tableColumn id="11" xr3:uid="{F89B4F1F-730A-433D-802C-50DA14A8FC40}" name="8 אדום" dataDxfId="171">
      <calculatedColumnFormula>IFERROR(INDEX(OFFSET('תכנית לפי קבוצות'!$C$120,$A18*4,0,4,4),MATCH(L$1,OFFSET('תכנית לפי קבוצות'!$F$120,$A18*4,0,4,1),0),1),"")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99701D4-8033-4A29-8602-1D3889FCA265}" name="HRGame3Table" displayName="HRGame3Table" ref="B31:L43" totalsRowShown="0" headerRowDxfId="170" dataDxfId="168" headerRowBorderDxfId="169" tableBorderDxfId="167">
  <tableColumns count="11">
    <tableColumn id="1" xr3:uid="{FEC6709C-B243-47C7-B2F8-3233EBDBBAFF}" name="#" dataDxfId="166">
      <calculatedColumnFormula>B31+1</calculatedColumnFormula>
    </tableColumn>
    <tableColumn id="2" xr3:uid="{A37542CD-D864-4A07-9070-3FDCD17C35DE}" name="התחלה" dataDxfId="165">
      <calculatedColumnFormula>start_round_III+ORM*A32</calculatedColumnFormula>
    </tableColumn>
    <tableColumn id="3" xr3:uid="{6D79F2FE-294A-45CD-8689-3BB5CCA74435}" name="סיום" dataDxfId="164">
      <calculatedColumnFormula>HRGame3Table[[#This Row],[התחלה]]+TIME(0,3,0)</calculatedColumnFormula>
    </tableColumn>
    <tableColumn id="4" xr3:uid="{6BCD6728-7FC2-4F22-822E-8175ABD6A42D}" name="1 אדום" dataDxfId="163">
      <calculatedColumnFormula>IFERROR(INDEX(OFFSET('תכנית לפי קבוצות'!$C$178,$A32*4,0,4,4),MATCH(E$1,OFFSET('תכנית לפי קבוצות'!$F$178,$A32*4,0,4,1),0),1),"")</calculatedColumnFormula>
    </tableColumn>
    <tableColumn id="5" xr3:uid="{B578B0A8-EC0A-447E-A455-C42146F12440}" name="2 אדום" dataDxfId="162">
      <calculatedColumnFormula>IFERROR(INDEX(OFFSET('תכנית לפי קבוצות'!$C$178,$A32*4,0,4,4),MATCH(F$1,OFFSET('תכנית לפי קבוצות'!$F$178,$A32*4,0,4,1),0),1),"")</calculatedColumnFormula>
    </tableColumn>
    <tableColumn id="6" xr3:uid="{DDE71316-38F1-401F-808C-606408D3D32D}" name="3 אדום" dataDxfId="161">
      <calculatedColumnFormula>IFERROR(INDEX(OFFSET('תכנית לפי קבוצות'!$C$178,$A32*4,0,4,4),MATCH(G$1,OFFSET('תכנית לפי קבוצות'!$F$178,$A32*4,0,4,1),0),1),"")</calculatedColumnFormula>
    </tableColumn>
    <tableColumn id="7" xr3:uid="{27CE4142-51CD-4D75-8BDD-CEB0BF2399D2}" name="4 אדום" dataDxfId="160">
      <calculatedColumnFormula>IFERROR(INDEX(OFFSET('תכנית לפי קבוצות'!$C$178,$A32*4,0,4,4),MATCH(H$1,OFFSET('תכנית לפי קבוצות'!$F$178,$A32*4,0,4,1),0),1),"")</calculatedColumnFormula>
    </tableColumn>
    <tableColumn id="8" xr3:uid="{8369F06B-9901-4C82-AD03-707949F96DF9}" name="5 אדום" dataDxfId="159">
      <calculatedColumnFormula>IFERROR(INDEX(OFFSET('תכנית לפי קבוצות'!$C$178,$A32*4,0,4,4),MATCH(I$1,OFFSET('תכנית לפי קבוצות'!$F$178,$A32*4,0,4,1),0),1),"")</calculatedColumnFormula>
    </tableColumn>
    <tableColumn id="9" xr3:uid="{3BEA1026-43AA-4895-A89F-584F4CF68D17}" name="6 אדום" dataDxfId="158">
      <calculatedColumnFormula>IFERROR(INDEX(OFFSET('תכנית לפי קבוצות'!$C$178,$A32*4,0,4,4),MATCH(J$1,OFFSET('תכנית לפי קבוצות'!$F$178,$A32*4,0,4,1),0),1),"")</calculatedColumnFormula>
    </tableColumn>
    <tableColumn id="10" xr3:uid="{6B771AEC-599D-400E-A840-A9BA8A6BDE84}" name="7 אדום" dataDxfId="157">
      <calculatedColumnFormula>IFERROR(INDEX(OFFSET('תכנית לפי קבוצות'!$C$178,$A32*4,0,4,4),MATCH(K$1,OFFSET('תכנית לפי קבוצות'!$F$178,$A32*4,0,4,1),0),1),"")</calculatedColumnFormula>
    </tableColumn>
    <tableColumn id="11" xr3:uid="{2A847A99-3CD5-4E2D-ACF6-C296B355BDC0}" name="8 אדום" dataDxfId="156">
      <calculatedColumnFormula>IFERROR(INDEX(OFFSET('תכנית לפי קבוצות'!$C$178,$A32*4,0,4,4),MATCH(L$1,OFFSET('תכנית לפי קבוצות'!$F$178,$A32*4,0,4,1),0),1),"")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791BD7-9B43-4083-9DCB-F1221C2E44F5}" name="Judging_Timetable" displayName="Judging_Timetable" ref="B2:J9" totalsRowShown="0" headerRowDxfId="155" dataDxfId="154" tableBorderDxfId="153">
  <autoFilter ref="B2:J9" xr:uid="{FADC45B7-3FF4-4490-AA6E-3BF27DF6622A}"/>
  <tableColumns count="9">
    <tableColumn id="1" xr3:uid="{A6000777-7633-4DD0-A72E-0BA5A432F2B3}" name="התחלה" dataDxfId="152"/>
    <tableColumn id="2" xr3:uid="{19CC32E3-CA9D-481F-B3B9-FF28BC9CAF9B}" name="סיום" dataDxfId="151"/>
    <tableColumn id="3" xr3:uid="{AA0CD5C2-CE81-48F6-B760-B2A52844BE6A}" name="1" dataDxfId="150">
      <calculatedColumnFormula>IFERROR(INDEX(OFFSET('תכנית לפי קבוצות'!$S$62,$A3*ROOMS,0,ROOMS,1),MATCH(D$10,OFFSET('תכנית לפי קבוצות'!$T$62,$A3*ROOMS,0,ROOMS,1),0),1),0)</calculatedColumnFormula>
    </tableColumn>
    <tableColumn id="4" xr3:uid="{9EDD5F72-9430-4B92-BA86-06AE917525F4}" name="2" dataDxfId="149">
      <calculatedColumnFormula>IFERROR(INDEX(OFFSET('תכנית לפי קבוצות'!$S$62,$A3*ROOMS,0,ROOMS,1),MATCH(E$10,OFFSET('תכנית לפי קבוצות'!$T$62,$A3*ROOMS,0,ROOMS,1),0),1),0)</calculatedColumnFormula>
    </tableColumn>
    <tableColumn id="5" xr3:uid="{C3731A50-2E96-440F-94DA-E97571C978B0}" name="3" dataDxfId="148">
      <calculatedColumnFormula>IFERROR(INDEX(OFFSET('תכנית לפי קבוצות'!$S$62,$A3*ROOMS,0,ROOMS,1),MATCH(F$10,OFFSET('תכנית לפי קבוצות'!$T$62,$A3*ROOMS,0,ROOMS,1),0),1),0)</calculatedColumnFormula>
    </tableColumn>
    <tableColumn id="6" xr3:uid="{68B4331E-9D25-4995-B187-3C434E931462}" name="4" dataDxfId="147">
      <calculatedColumnFormula>IFERROR(INDEX(OFFSET('תכנית לפי קבוצות'!$S$62,$A3*ROOMS,0,ROOMS,1),MATCH(G$10,OFFSET('תכנית לפי קבוצות'!$T$62,$A3*ROOMS,0,ROOMS,1),0),1),0)</calculatedColumnFormula>
    </tableColumn>
    <tableColumn id="7" xr3:uid="{CD21C081-B4A1-4D87-A6EC-FEFF588F66BC}" name="5" dataDxfId="146">
      <calculatedColumnFormula>IFERROR(INDEX(OFFSET('תכנית לפי קבוצות'!$S$62,$A3*ROOMS,0,ROOMS,1),MATCH(H$10,OFFSET('תכנית לפי קבוצות'!$T$62,$A3*ROOMS,0,ROOMS,1),0),1),0)</calculatedColumnFormula>
    </tableColumn>
    <tableColumn id="8" xr3:uid="{3DC0120D-8DB2-47B9-945C-917D4E0264D2}" name="6" dataDxfId="145">
      <calculatedColumnFormula>IFERROR(INDEX(OFFSET('תכנית לפי קבוצות'!$S$62,$A3*ROOMS,0,ROOMS,1),MATCH(I$10,OFFSET('תכנית לפי קבוצות'!$T$62,$A3*ROOMS,0,ROOMS,1),0),1),0)</calculatedColumnFormula>
    </tableColumn>
    <tableColumn id="9" xr3:uid="{28F41E9A-26CC-40DD-BB6D-662A0EE8108B}" name="7" dataDxfId="144">
      <calculatedColumnFormula>IFERROR(INDEX(OFFSET('תכנית לפי קבוצות'!$S$62,$A3*ROOMS,0,ROOMS,1),MATCH(J$10,OFFSET('תכנית לפי קבוצות'!$T$62,$A3*ROOMS,0,ROOMS,1),0),1),0)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3FF5A-7628-4308-9E54-3E072D95269B}" name="TimeTable" displayName="TimeTable" ref="A2:V59" totalsRowCount="1" headerRowDxfId="143" dataDxfId="142" totalsRowDxfId="141">
  <autoFilter ref="A2:V58" xr:uid="{22EE9468-5BEB-4C93-A426-BF150E6E6F25}"/>
  <sortState xmlns:xlrd2="http://schemas.microsoft.com/office/spreadsheetml/2017/richdata2" ref="A3:V58">
    <sortCondition ref="A2:A58"/>
  </sortState>
  <tableColumns count="22">
    <tableColumn id="20" xr3:uid="{ACF4D0EB-0BF3-4DB5-856A-6C323374195E}" name="מס&quot;ד" dataDxfId="140" totalsRowDxfId="139"/>
    <tableColumn id="1" xr3:uid="{6209E50C-4F9F-4CB1-B441-87E2B3A99602}" name="מס' הקבוצה" dataDxfId="138" totalsRowDxfId="137">
      <calculatedColumnFormula>IFERROR(_xlfn.XLOOKUP(TimeTable[[#This Row],[מס"ד]],TeamList[מס"ד],TeamList[מס'' הקבוצה]),"")</calculatedColumnFormula>
    </tableColumn>
    <tableColumn id="3" xr3:uid="{3FE7C6B4-D83D-4261-86C3-575A93B0B61C}" name="שם הקבוצה" dataDxfId="136" totalsRowDxfId="135">
      <calculatedColumnFormula>IFERROR(_xlfn.XLOOKUP(TimeTable[[#This Row],[מס"ד]],TeamList[מס"ד],TeamList[שם הקבוצה]),"")</calculatedColumnFormula>
    </tableColumn>
    <tableColumn id="4" xr3:uid="{1007E0DF-F57C-4B84-B3D7-F7FF33F5A35F}" name="מס' הרצה 1" dataDxfId="134" totalsRowDxfId="133"/>
    <tableColumn id="5" xr3:uid="{3CAAC69F-52F0-45E4-9C35-B70E37B41A53}" name="שעת הרצה 1" dataDxfId="132" totalsRowDxfId="131"/>
    <tableColumn id="6" xr3:uid="{F84881F4-8EDA-47EC-B25B-C4DB9DAE98F6}" name="שולחן הרצה 1" dataDxfId="130" totalsRowDxfId="129"/>
    <tableColumn id="7" xr3:uid="{447AF934-FC96-43C9-A83F-208B27C45B1D}" name="מס' הרצה 2" dataDxfId="128" totalsRowDxfId="127"/>
    <tableColumn id="8" xr3:uid="{E82F9DDE-6F86-4AF1-8B71-52637E94FA5A}" name="שעת הרצה 2" dataDxfId="126" totalsRowDxfId="125"/>
    <tableColumn id="9" xr3:uid="{4830A0F3-82E2-4FFC-9DCF-98ABCD4B1C83}" name="שולחן הרצה 2" dataDxfId="124" totalsRowDxfId="123"/>
    <tableColumn id="10" xr3:uid="{11326073-DF37-4B84-AEF1-E979F1CB7747}" name="מס' הרצה 3" dataDxfId="122" totalsRowDxfId="121"/>
    <tableColumn id="11" xr3:uid="{F6C18A62-4C67-44EE-A783-47A76406F180}" name="שעת הרצה 3" dataDxfId="120" totalsRowDxfId="119"/>
    <tableColumn id="12" xr3:uid="{E9FDCB39-F2E5-4010-9E15-678EE7CAAD5D}" name="שולחן הרצה 3" dataDxfId="118" totalsRowDxfId="117"/>
    <tableColumn id="2" xr3:uid="{70E24FEE-F38C-45F0-825C-7069ED2687B7}" name="מס' הרצת אימון" dataDxfId="116" totalsRowDxfId="115"/>
    <tableColumn id="21" xr3:uid="{887F5964-B144-4836-8301-9CDB724D2A59}" name="שעת הרצת אימון" dataDxfId="114" totalsRowDxfId="113"/>
    <tableColumn id="22" xr3:uid="{3C551403-7606-4D3D-AC1B-9905FCC57391}" name="שולחן הרצת אימון" dataDxfId="112" totalsRowDxfId="111"/>
    <tableColumn id="13" xr3:uid="{43322DFD-7A79-483D-B5E4-D9DB853BECB5}" name="מס' הרצת טורניר" dataDxfId="110" totalsRowDxfId="109"/>
    <tableColumn id="14" xr3:uid="{48853991-2E03-4903-9B58-1BCA7D7AF348}" name="שעת הרצת טורניר" dataDxfId="108" totalsRowDxfId="107"/>
    <tableColumn id="15" xr3:uid="{88A527A9-6D07-41E1-B70A-D73AB243E384}" name="שולחן הרצת טורניר" dataDxfId="106" totalsRowDxfId="105"/>
    <tableColumn id="16" xr3:uid="{A742EAEF-F6A0-4690-8217-3B685AAA94C3}" name="מחזור שעפוט" dataDxfId="104" totalsRowDxfId="103"/>
    <tableColumn id="17" xr3:uid="{A21E6091-E84B-4C10-A994-2EAC5CF009EB}" name="מס' החדר שיפוט" dataDxfId="102" totalsRowDxfId="101"/>
    <tableColumn id="18" xr3:uid="{F400612F-6DAC-4269-86EF-01D35412E2E4}" name="שעת שיפוט" dataDxfId="100" totalsRowDxfId="99"/>
    <tableColumn id="19" xr3:uid="{0D2C549F-2A2F-4F33-8E77-C132A76E21B5}" name="זמן מינימום בין האירועים" totalsRowFunction="custom" dataDxfId="98" totalsRowDxfId="97">
      <totalsRowFormula>MIN(TimeTable[זמן מינימום בין האירועים])</totalsRow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642C30E-6D8D-4507-B89C-47C4FBD4B499}" name="MatchSequence" displayName="MatchSequence" ref="B61:G117" totalsRowShown="0" headerRowDxfId="96" dataDxfId="95">
  <sortState xmlns:xlrd2="http://schemas.microsoft.com/office/spreadsheetml/2017/richdata2" ref="C62:G225">
    <sortCondition ref="D61:D225"/>
  </sortState>
  <tableColumns count="6">
    <tableColumn id="6" xr3:uid="{0E3A4E56-6EE0-4794-A2AA-365DB0842625}" name="Round" dataDxfId="94"/>
    <tableColumn id="1" xr3:uid="{60FC41F7-1720-47BA-B204-67EC9782379A}" name="מס&quot;ד" dataDxfId="93">
      <calculatedColumnFormula array="1">INDEX(TimeTable[מס"ד],MATCH(MatchSequence[[#This Row],[שעה]]&amp;MatchSequence[[#This Row],[שולחן]],TimeTable[שעת הרצה 1]&amp;TimeTable[שולחן הרצה 1],0))</calculatedColumnFormula>
    </tableColumn>
    <tableColumn id="2" xr3:uid="{547E2815-1F31-4131-8671-582DA93F5EC7}" name="מקצה" dataDxfId="92"/>
    <tableColumn id="3" xr3:uid="{92AE6FF4-40FD-471E-86A1-D85954726925}" name="שעה" dataDxfId="91"/>
    <tableColumn id="4" xr3:uid="{C04990DB-BE32-4D7B-99D4-C1AE18782DFF}" name="שולחן" dataDxfId="90"/>
    <tableColumn id="5" xr3:uid="{DD3EF608-5E9B-4173-9E00-6BD9E8B96557}" name="קבוצה" dataDxfId="89">
      <calculatedColumnFormula>_xlfn.XLOOKUP(MatchSequence[[#This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553EC2-F916-4DE7-AF6A-7A6A3A0D685B}" name="PracticeSequence" displayName="PracticeSequence" ref="L61:P117" totalsRowShown="0" headerRowDxfId="88" dataDxfId="87">
  <sortState xmlns:xlrd2="http://schemas.microsoft.com/office/spreadsheetml/2017/richdata2" ref="L62:P115">
    <sortCondition ref="M61:M115"/>
  </sortState>
  <tableColumns count="5">
    <tableColumn id="1" xr3:uid="{1AEFE2E4-F0A1-407A-9752-1A3A785CB346}" name="מס&quot;ד" dataDxfId="86">
      <calculatedColumnFormula array="1">INDEX(TimeTable[מס"ד],MATCH(1,(ABS(PracticeSequence[[#This Row],[שעה]]-TimeTable[שעת הרצת טורניר])&lt;tolerance)*(PracticeSequence[[#This Row],[שולחן]]=TimeTable[שולחן הרצת טורניר]),0))</calculatedColumnFormula>
    </tableColumn>
    <tableColumn id="2" xr3:uid="{FF525AD6-7FAC-47B0-89BF-C334B438839F}" name="מקצה" dataDxfId="85">
      <calculatedColumnFormula>VLOOKUP(PracticeSequence[[#This Row],[מס"ד]],TimeTable[#All],14)</calculatedColumnFormula>
    </tableColumn>
    <tableColumn id="3" xr3:uid="{81024B63-547B-4109-A24D-478BA3DDAF78}" name="שעה" dataDxfId="84"/>
    <tableColumn id="4" xr3:uid="{7D5566AC-D224-4642-B8D7-FDCEB022DA03}" name="שולחן" dataDxfId="83"/>
    <tableColumn id="5" xr3:uid="{66CF9FF4-5CBE-4C97-A1F9-8458AAFA6F83}" name="קבוצה" dataDxfId="82">
      <calculatedColumnFormula>_xlfn.XLOOKUP(PracticeSequence[[#This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898DBC9-374C-467F-85CC-D5E230563C30}" name="JudgingSequence" displayName="JudgingSequence" ref="S61:V117" totalsRowShown="0" headerRowDxfId="81" dataDxfId="80">
  <sortState xmlns:xlrd2="http://schemas.microsoft.com/office/spreadsheetml/2017/richdata2" ref="S62:U117">
    <sortCondition ref="U61:U117"/>
  </sortState>
  <tableColumns count="4">
    <tableColumn id="1" xr3:uid="{0F505986-D9D9-4F90-A7E4-08260591F023}" name="מס&quot;ד" dataDxfId="79">
      <calculatedColumnFormula array="1">INDEX(TimeTable[מס"ד],MATCH(1,(ABS(JudgingSequence[[#This Row],[שעה]]-TimeTable[שעת שיפוט])&lt;tolerance)*(JudgingSequence[[#This Row],[חדר]]=TimeTable[מס'' החדר שיפוט]),0))</calculatedColumnFormula>
    </tableColumn>
    <tableColumn id="2" xr3:uid="{6C88617B-4261-47D9-9C2B-0E607E6C4B5B}" name="חדר" dataDxfId="78"/>
    <tableColumn id="3" xr3:uid="{4854300E-6C24-45AA-BA3C-7EA76CBFC373}" name="שעה" dataDxfId="77"/>
    <tableColumn id="4" xr3:uid="{953AC569-4619-4EDB-B7AA-C4501600F808}" name="Count" dataDxfId="7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2D68091-95C3-4A0B-9841-0A6DE26E8ED8}" name="Table9" displayName="Table9" ref="B119:G175" totalsRowShown="0" headerRowDxfId="75" dataDxfId="73" headerRowBorderDxfId="74" tableBorderDxfId="72">
  <tableColumns count="6">
    <tableColumn id="1" xr3:uid="{2CD48FA9-43AA-43CB-83DD-9726503CF399}" name="Round" dataDxfId="71"/>
    <tableColumn id="2" xr3:uid="{9EE51B1C-FF95-46A8-8314-CEBF550E4D84}" name="מס&quot;ד" dataDxfId="70">
      <calculatedColumnFormula array="1">INDEX(TimeTable[מס"ד],MATCH(1,(ABS(Table9[[#This Row],[שעה]]-TimeTable[שעת הרצה 2])&lt;tolerance)*(Table9[[#This Row],[שולחן]]=TimeTable[שולחן הרצה 2]),0))</calculatedColumnFormula>
    </tableColumn>
    <tableColumn id="3" xr3:uid="{7770186E-BD88-4FC4-B8D6-BE54EC75C13E}" name="מקצה" dataDxfId="69"/>
    <tableColumn id="4" xr3:uid="{75CC80E2-144A-4EF0-B69B-2817E9BD852E}" name="שעה" dataDxfId="68"/>
    <tableColumn id="5" xr3:uid="{938DBF5C-8ADE-4BCB-951A-49D6FFC961A8}" name="שולחן" dataDxfId="67"/>
    <tableColumn id="6" xr3:uid="{C30CD73A-D869-4E3E-9D6F-3279D2429ADE}" name="קבוצה" dataDxfId="66">
      <calculatedColumnFormula>_xlfn.XLOOKUP(Table9[[#This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955143-C938-4509-8702-596F3F4D2BAE}" name="Table13" displayName="Table13" ref="B177:G233" totalsRowShown="0" headerRowDxfId="65" dataDxfId="63" headerRowBorderDxfId="64" tableBorderDxfId="62">
  <tableColumns count="6">
    <tableColumn id="1" xr3:uid="{B5A54945-65F8-433B-B85F-339F8B729698}" name="Round" dataDxfId="61"/>
    <tableColumn id="2" xr3:uid="{E6D7F441-E239-4D4A-A0DC-5B76D406EB1E}" name="מס&quot;ד" dataDxfId="60">
      <calculatedColumnFormula array="1">INDEX(TimeTable[מס"ד],MATCH(1,(ABS(Table13[[#This Row],[שעה]]-TimeTable[שעת הרצה 3])&lt;tolerance)*(Table13[[#This Row],[שולחן]]=TimeTable[שולחן הרצה 3]),0))</calculatedColumnFormula>
    </tableColumn>
    <tableColumn id="3" xr3:uid="{046E7D69-CF43-4999-8250-89F7F4E4F779}" name="מקצה" dataDxfId="59"/>
    <tableColumn id="4" xr3:uid="{FC1278F4-9D72-4BDF-B739-0684D934D7A5}" name="שעה" dataDxfId="58"/>
    <tableColumn id="5" xr3:uid="{651DCD23-6295-4683-946E-F3544157EEAD}" name="שולחן" dataDxfId="57">
      <calculatedColumnFormula>_xlfn.XLOOKUP($Q62-(ROUNDUP(M62/2,0)-1)*8,Table_names[מסד],Table_names[שם מלא])</calculatedColumnFormula>
    </tableColumn>
    <tableColumn id="6" xr3:uid="{3420A576-A07B-4EC2-9DFB-5F32A4A81EED}" name="קבוצה" dataDxfId="56">
      <calculatedColumnFormula>_xlfn.XLOOKUP(Table13[[#This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37BDBA-E8D2-4093-B44F-7A39B2E3244F}" name="Table_names" displayName="Table_names" ref="Y2:AA10" totalsRowShown="0" headerRowDxfId="55" dataDxfId="54">
  <tableColumns count="3">
    <tableColumn id="4" xr3:uid="{373608DC-5DD6-4FCD-BE07-60B45F6D88A3}" name="מסד" dataDxfId="53"/>
    <tableColumn id="1" xr3:uid="{CAE14574-7D37-420A-B5E0-1B31D10EFA9D}" name="שולחן" dataDxfId="52"/>
    <tableColumn id="3" xr3:uid="{2E896DC1-75AE-4726-A7C6-5994306DAECD}" name="שם מלא" dataDxfId="51">
      <calculatedColumnFormula array="1">Table_names[[#This Row],[מסד]]&amp;" "&amp;color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50592F-626D-42C3-BA55-CB738C9B49FC}" name="Table135" displayName="Table135" ref="B235:H291" totalsRowShown="0" headerRowDxfId="50" dataDxfId="48" headerRowBorderDxfId="49" tableBorderDxfId="47">
  <tableColumns count="7">
    <tableColumn id="1" xr3:uid="{5C9F6C53-034C-434B-95F6-C55BC242B517}" name="Round" dataDxfId="46"/>
    <tableColumn id="2" xr3:uid="{B19BF65F-FB36-449E-8D50-850E13E4A8BC}" name="מס&quot;ד" dataDxfId="45">
      <calculatedColumnFormula array="1">INDEX(TimeTable[מס"ד],MATCH(1,(ABS(Table135[[#This Row],[שעה]]-TimeTable[שעת הרצה 3])&lt;tolerance)*(Table135[[#This Row],[שולחן]]=TimeTable[שולחן הרצה 3]),0))</calculatedColumnFormula>
    </tableColumn>
    <tableColumn id="3" xr3:uid="{9A174362-CA3D-4F10-9A5C-2D4F9DD20750}" name="מקצה" dataDxfId="44"/>
    <tableColumn id="4" xr3:uid="{11878C38-D2DE-4DD0-9F5D-6649A7779436}" name="שעה" dataDxfId="43"/>
    <tableColumn id="5" xr3:uid="{3F8E343F-8ED4-4E0B-BAD7-EF08DC024CAF}" name="שולחן" dataDxfId="42">
      <calculatedColumnFormula>_xlfn.XLOOKUP($Q121-(ROUNDUP(M121/2,0)-1)*8,Table_names[מסד],Table_names[שם מלא])</calculatedColumnFormula>
    </tableColumn>
    <tableColumn id="6" xr3:uid="{6F0D843A-A608-42F5-B0BB-D8AF238DCF3C}" name="קבוצה" dataDxfId="41">
      <calculatedColumnFormula>_xlfn.XLOOKUP(Table135[[#This Row],[מס"ד]],TeamList[מס"ד],TeamList[מס'' הקבוצה])</calculatedColumnFormula>
    </tableColumn>
    <tableColumn id="7" xr3:uid="{37DC7242-DBAE-4C1E-A36D-40D67A00FB7E}" name="קבוצה ב" dataDxfId="40">
      <calculatedColumnFormula>IFERROR(_xlfn.XLOOKUP(Table135[[#This Row],[מס"ד]],TeamList2[מס"ד],TeamList2[מס'' הקבוצה]),"")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B6A5062-6801-4BCA-BF1E-206909CF755B}" name="Table7" displayName="Table7" ref="Y14:AA30" totalsRowShown="0" headerRowDxfId="39" headerRowBorderDxfId="38" tableBorderDxfId="37" totalsRowBorderDxfId="36">
  <tableColumns count="3">
    <tableColumn id="1" xr3:uid="{75FE9616-589E-4CF7-BD65-62A4B1B08BA2}" name="מסד" dataDxfId="35"/>
    <tableColumn id="2" xr3:uid="{141A4553-7793-4CCB-80B7-AE824EC11E52}" name="שולחן" dataDxfId="34"/>
    <tableColumn id="3" xr3:uid="{BCD52993-459D-44BB-A08B-8D6DF03693EB}" name="שם מלא" dataDxfId="3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3300B3-2761-46BD-95E8-63911046AA92}" name="Table8" displayName="Table8" ref="AC2:AC3" totalsRowShown="0" headerRowDxfId="32" dataDxfId="31">
  <autoFilter ref="AC2:AC3" xr:uid="{933300B3-2761-46BD-95E8-63911046AA92}"/>
  <tableColumns count="1">
    <tableColumn id="1" xr3:uid="{10DF056C-F451-49A4-9BF7-41F55AA7B8B3}" name="Color" dataDxfId="30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804EFD9-614A-4CBE-99E9-59CF44403336}" name="break_scheduler" displayName="break_scheduler" ref="A1:AB9" totalsRowShown="0" headerRowDxfId="29" dataDxfId="28">
  <tableColumns count="28">
    <tableColumn id="1" xr3:uid="{AB9B2EA8-56FD-45F5-9B11-F61D6208EE4B}" name="# of teams" dataDxfId="27"/>
    <tableColumn id="2" xr3:uid="{7118E460-D69F-4E5E-B6A5-F1A1346AAAFD}" name="Round matches" dataDxfId="26"/>
    <tableColumn id="4" xr3:uid="{EE7F00DC-2732-4509-8B44-1BA4EB0C4B7A}" name="Practice round duration" dataDxfId="25"/>
    <tableColumn id="5" xr3:uid="{EC831331-6335-4FF5-BBC3-B106ECC70417}" name="Official round duration" dataDxfId="24"/>
    <tableColumn id="18" xr3:uid="{D1F5DEE0-0C9D-4B1B-A4FA-A74EC1F88B56}" name="Opening Ceremony" dataDxfId="23"/>
    <tableColumn id="7" xr3:uid="{1814AA77-A3C8-4222-9BD4-9AFD53961FE0}" name="Practice start" dataDxfId="22"/>
    <tableColumn id="8" xr3:uid="{AFF1A1A9-1875-425D-96C6-464F7E0EB8CA}" name="Practice end" dataDxfId="21"/>
    <tableColumn id="9" xr3:uid="{39C69610-687A-477D-B09C-0CCA3CFD888E}" name="Break 1" dataDxfId="20"/>
    <tableColumn id="11" xr3:uid="{8C08A2A8-D69D-44D6-A2BC-6FC69332F8EA}" name="Round 1 start" dataDxfId="19"/>
    <tableColumn id="12" xr3:uid="{49B4B695-D093-4BCC-A320-79718C4F1A6D}" name="Round 1 end" dataDxfId="18"/>
    <tableColumn id="13" xr3:uid="{A182A52E-44E1-4A86-BCFD-5F460B3658E3}" name="Break 2" dataDxfId="17"/>
    <tableColumn id="15" xr3:uid="{6C7E64AA-E8E4-48C6-87EF-EEBA28DCC2EE}" name="Round 2 start" dataDxfId="16"/>
    <tableColumn id="16" xr3:uid="{FFA3980B-C422-4EFC-808D-A25EA6C67E2F}" name="Round 2 end" dataDxfId="15"/>
    <tableColumn id="17" xr3:uid="{67F913E9-389E-44A3-BA5A-1DF0476AC4EF}" name="Break 3" dataDxfId="14"/>
    <tableColumn id="19" xr3:uid="{DD9EE93B-F5A9-431F-84EF-6ED4701C41BB}" name="Round 3 start" dataDxfId="13"/>
    <tableColumn id="20" xr3:uid="{C9D67AE4-D34C-4A53-BC26-CD7F6C38EE4F}" name="Round 3 end" dataDxfId="12"/>
    <tableColumn id="21" xr3:uid="{3764BD5D-9075-4FE3-B552-24E50B73789A}" name="Friendly tournamernt" dataDxfId="11"/>
    <tableColumn id="28" xr3:uid="{9E0A2843-F173-475A-B841-2F00844E82E1}" name="Mesibotica" dataDxfId="10"/>
    <tableColumn id="22" xr3:uid="{3059FBEC-1A36-4D2B-B1CF-755CAE4B27AF}" name="Judging Rooms" dataDxfId="9"/>
    <tableColumn id="23" xr3:uid="{EF67ACE7-EC9F-4F31-B0E7-A0E45EDDD479}" name="Judges Lunch" dataDxfId="8"/>
    <tableColumn id="29" xr3:uid="{CB528417-AF4C-4D7E-A487-16F8F152E3FC}" name="Judging Rounds" dataDxfId="7"/>
    <tableColumn id="6" xr3:uid="{60928CAD-D7AA-45FB-9E1D-83C7A5F79A8C}" name="Judging ends" dataDxfId="6"/>
    <tableColumn id="24" xr3:uid="{411C98A6-2F03-4E1C-840B-FEAC05794DDE}" name="Rubrics review" dataDxfId="5"/>
    <tableColumn id="32" xr3:uid="{F83E8C8A-A21F-4E87-8B13-CC79BFB66659}" name="Deliberation" dataDxfId="4"/>
    <tableColumn id="25" xr3:uid="{FF826F2E-EC11-4646-AFF3-C2E80495B7DB}" name="Final Session" dataDxfId="3"/>
    <tableColumn id="26" xr3:uid="{8FBA17B9-EEC5-46CC-B468-B34A14F89C56}" name="Closing Ceremony prep" dataDxfId="2"/>
    <tableColumn id="3" xr3:uid="{5FBC8F64-ABC0-438F-84C1-9EAA315261A3}" name="Closing Ceremony" dataDxfId="1"/>
    <tableColumn id="14" xr3:uid="{8F887B70-5A83-465D-8C41-CF7FDF8602DB}" name="EN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FCCDD-8D83-4697-85D9-E8971E42CD0C}">
  <sheetPr codeName="Sheet1"/>
  <dimension ref="A1:L51"/>
  <sheetViews>
    <sheetView rightToLeft="1" workbookViewId="0">
      <pane ySplit="2" topLeftCell="A16" activePane="bottomLeft" state="frozen"/>
      <selection pane="bottomLeft" activeCell="L20" sqref="L20"/>
    </sheetView>
  </sheetViews>
  <sheetFormatPr defaultRowHeight="14.25" x14ac:dyDescent="0.65"/>
  <cols>
    <col min="1" max="1" width="7.08203125" style="217" customWidth="1"/>
    <col min="2" max="2" width="9.08203125" style="1" customWidth="1"/>
    <col min="3" max="3" width="20.20703125" style="2" customWidth="1"/>
    <col min="4" max="4" width="25.70703125" style="1" customWidth="1"/>
    <col min="5" max="5" width="8" style="96" customWidth="1"/>
    <col min="6" max="6" width="9.70703125" style="1" customWidth="1"/>
    <col min="7" max="7" width="9.20703125" style="3" customWidth="1"/>
    <col min="8" max="8" width="13.08203125" hidden="1" customWidth="1"/>
    <col min="9" max="9" width="13.08203125" style="3" hidden="1" customWidth="1"/>
    <col min="10" max="10" width="13.08203125" hidden="1" customWidth="1"/>
    <col min="11" max="11" width="13.08203125" customWidth="1"/>
    <col min="12" max="14" width="19.20703125" customWidth="1"/>
  </cols>
  <sheetData>
    <row r="1" spans="1:12" s="4" customFormat="1" ht="24.65" customHeight="1" thickBot="1" x14ac:dyDescent="0.8">
      <c r="A1" s="217"/>
      <c r="B1" s="59" t="s">
        <v>34</v>
      </c>
      <c r="C1" s="53" t="str">
        <f>IF(D1&lt;&gt;"","מוקדמות מס'","אליפות")</f>
        <v>מוקדמות מס'</v>
      </c>
      <c r="D1" s="221" t="str" cm="1">
        <f t="array" ref="D1">IF(MATCH(E1,Dates)=COUNTA(Dates),"",MATCH(E1,Dates))&amp;"   בית "&amp;color</f>
        <v>4   בית אדום</v>
      </c>
      <c r="E1" s="230">
        <v>44965</v>
      </c>
      <c r="F1" s="230"/>
      <c r="G1" s="1"/>
    </row>
    <row r="2" spans="1:12" ht="28.5" x14ac:dyDescent="0.7">
      <c r="A2" s="225" t="s">
        <v>55</v>
      </c>
      <c r="B2" s="226" t="s">
        <v>0</v>
      </c>
      <c r="C2" s="227" t="s">
        <v>1</v>
      </c>
      <c r="D2" s="227" t="s">
        <v>24</v>
      </c>
      <c r="E2" s="228" t="s">
        <v>2</v>
      </c>
      <c r="F2" s="229" t="s">
        <v>3</v>
      </c>
      <c r="G2"/>
      <c r="I2" s="25" t="s">
        <v>79</v>
      </c>
      <c r="J2" s="25">
        <f>COUNTA(TeamList[מס'' הקבוצה])</f>
        <v>48</v>
      </c>
    </row>
    <row r="3" spans="1:12" s="4" customFormat="1" ht="16.2" customHeight="1" x14ac:dyDescent="0.65">
      <c r="A3" s="217">
        <v>1</v>
      </c>
      <c r="B3" s="52">
        <v>3163</v>
      </c>
      <c r="C3" s="51" t="s">
        <v>229</v>
      </c>
      <c r="D3" s="51" t="s">
        <v>195</v>
      </c>
      <c r="E3" s="96" t="str">
        <f>IFERROR(_xlfn.XLOOKUP(TeamList[[#This Row],[מס'' הקבוצה]],TimeTable[מס'' הקבוצה],TimeTable[מס'' החדר שיפוט]),"")</f>
        <v>1 אדום</v>
      </c>
      <c r="F3" s="52"/>
      <c r="L3" s="58"/>
    </row>
    <row r="4" spans="1:12" s="4" customFormat="1" ht="16.2" customHeight="1" x14ac:dyDescent="0.65">
      <c r="A4" s="217">
        <v>2</v>
      </c>
      <c r="B4" s="52">
        <v>3180</v>
      </c>
      <c r="C4" s="51" t="s">
        <v>230</v>
      </c>
      <c r="D4" s="51" t="s">
        <v>196</v>
      </c>
      <c r="E4" s="96" t="str">
        <f>IFERROR(_xlfn.XLOOKUP(TeamList[[#This Row],[מס'' הקבוצה]],TimeTable[מס'' הקבוצה],TimeTable[מס'' החדר שיפוט]),"")</f>
        <v>2 אדום</v>
      </c>
      <c r="F4" s="52"/>
    </row>
    <row r="5" spans="1:12" s="4" customFormat="1" ht="16.2" customHeight="1" x14ac:dyDescent="0.65">
      <c r="A5" s="217">
        <v>3</v>
      </c>
      <c r="B5" s="52">
        <v>1042</v>
      </c>
      <c r="C5" s="51" t="s">
        <v>231</v>
      </c>
      <c r="D5" s="51" t="s">
        <v>197</v>
      </c>
      <c r="E5" s="96" t="str">
        <f>IFERROR(_xlfn.XLOOKUP(TeamList[[#This Row],[מס'' הקבוצה]],TimeTable[מס'' הקבוצה],TimeTable[מס'' החדר שיפוט]),"")</f>
        <v>3 אדום</v>
      </c>
      <c r="F5" s="52"/>
      <c r="I5" s="1"/>
    </row>
    <row r="6" spans="1:12" s="4" customFormat="1" ht="16.2" customHeight="1" x14ac:dyDescent="0.65">
      <c r="A6" s="217">
        <v>4</v>
      </c>
      <c r="B6" s="52">
        <v>1825</v>
      </c>
      <c r="C6" s="51" t="s">
        <v>232</v>
      </c>
      <c r="D6" s="51" t="s">
        <v>198</v>
      </c>
      <c r="E6" s="96" t="str">
        <f>IFERROR(_xlfn.XLOOKUP(TeamList[[#This Row],[מס'' הקבוצה]],TimeTable[מס'' הקבוצה],TimeTable[מס'' החדר שיפוט]),"")</f>
        <v>4 אדום</v>
      </c>
      <c r="F6" s="52"/>
      <c r="I6" s="59"/>
    </row>
    <row r="7" spans="1:12" s="4" customFormat="1" ht="16.2" customHeight="1" x14ac:dyDescent="0.65">
      <c r="A7" s="217">
        <v>5</v>
      </c>
      <c r="B7" s="52">
        <v>3243</v>
      </c>
      <c r="C7" s="51" t="s">
        <v>233</v>
      </c>
      <c r="D7" s="51" t="s">
        <v>199</v>
      </c>
      <c r="E7" s="96" t="str">
        <f>IFERROR(_xlfn.XLOOKUP(TeamList[[#This Row],[מס'' הקבוצה]],TimeTable[מס'' הקבוצה],TimeTable[מס'' החדר שיפוט]),"")</f>
        <v>5 אדום</v>
      </c>
      <c r="F7" s="52"/>
      <c r="I7" s="59"/>
      <c r="K7" s="60"/>
    </row>
    <row r="8" spans="1:12" s="4" customFormat="1" ht="16.2" customHeight="1" x14ac:dyDescent="0.65">
      <c r="A8" s="217">
        <v>6</v>
      </c>
      <c r="B8" s="52">
        <v>2954</v>
      </c>
      <c r="C8" s="51" t="s">
        <v>234</v>
      </c>
      <c r="D8" s="51" t="s">
        <v>200</v>
      </c>
      <c r="E8" s="96" t="str">
        <f>IFERROR(_xlfn.XLOOKUP(TeamList[[#This Row],[מס'' הקבוצה]],TimeTable[מס'' הקבוצה],TimeTable[מס'' החדר שיפוט]),"")</f>
        <v>6 אדום</v>
      </c>
      <c r="F8" s="52"/>
      <c r="K8" s="60"/>
    </row>
    <row r="9" spans="1:12" s="4" customFormat="1" ht="16.2" customHeight="1" x14ac:dyDescent="0.65">
      <c r="A9" s="217">
        <v>7</v>
      </c>
      <c r="B9" s="52">
        <v>2623</v>
      </c>
      <c r="C9" s="51" t="s">
        <v>235</v>
      </c>
      <c r="D9" s="51" t="s">
        <v>201</v>
      </c>
      <c r="E9" s="96" t="str">
        <f>IFERROR(_xlfn.XLOOKUP(TeamList[[#This Row],[מס'' הקבוצה]],TimeTable[מס'' הקבוצה],TimeTable[מס'' החדר שיפוט]),"")</f>
        <v>7 אדום</v>
      </c>
      <c r="F9" s="52"/>
      <c r="K9" s="60"/>
    </row>
    <row r="10" spans="1:12" s="4" customFormat="1" ht="16.2" customHeight="1" x14ac:dyDescent="0.65">
      <c r="A10" s="217">
        <v>8</v>
      </c>
      <c r="B10" s="52">
        <v>2978</v>
      </c>
      <c r="C10" s="51" t="s">
        <v>236</v>
      </c>
      <c r="D10" s="51" t="s">
        <v>202</v>
      </c>
      <c r="E10" s="96" t="str">
        <f>IFERROR(_xlfn.XLOOKUP(TeamList[[#This Row],[מס'' הקבוצה]],TimeTable[מס'' הקבוצה],TimeTable[מס'' החדר שיפוט]),"")</f>
        <v>1 אדום</v>
      </c>
      <c r="F10" s="52"/>
      <c r="J10" s="61">
        <v>44962</v>
      </c>
      <c r="K10" s="60"/>
    </row>
    <row r="11" spans="1:12" s="4" customFormat="1" ht="16.2" customHeight="1" x14ac:dyDescent="0.65">
      <c r="A11" s="217">
        <v>9</v>
      </c>
      <c r="B11" s="52">
        <v>588</v>
      </c>
      <c r="C11" s="51" t="s">
        <v>203</v>
      </c>
      <c r="D11" s="51" t="s">
        <v>204</v>
      </c>
      <c r="E11" s="96" t="str">
        <f>IFERROR(_xlfn.XLOOKUP(TeamList[[#This Row],[מס'' הקבוצה]],TimeTable[מס'' הקבוצה],TimeTable[מס'' החדר שיפוט]),"")</f>
        <v>2 אדום</v>
      </c>
      <c r="F11" s="52"/>
      <c r="J11" s="61">
        <v>44963</v>
      </c>
      <c r="K11" s="60"/>
    </row>
    <row r="12" spans="1:12" s="4" customFormat="1" ht="16.2" customHeight="1" x14ac:dyDescent="0.65">
      <c r="A12" s="217">
        <v>10</v>
      </c>
      <c r="B12" s="52">
        <v>1371</v>
      </c>
      <c r="C12" s="51" t="s">
        <v>237</v>
      </c>
      <c r="D12" s="51" t="s">
        <v>205</v>
      </c>
      <c r="E12" s="96" t="str">
        <f>IFERROR(_xlfn.XLOOKUP(TeamList[[#This Row],[מס'' הקבוצה]],TimeTable[מס'' הקבוצה],TimeTable[מס'' החדר שיפוט]),"")</f>
        <v>3 אדום</v>
      </c>
      <c r="F12" s="52"/>
      <c r="J12" s="61">
        <v>44964</v>
      </c>
      <c r="K12" s="60"/>
    </row>
    <row r="13" spans="1:12" s="4" customFormat="1" ht="16.2" customHeight="1" x14ac:dyDescent="0.65">
      <c r="A13" s="217">
        <v>11</v>
      </c>
      <c r="B13" s="52">
        <v>3139</v>
      </c>
      <c r="C13" s="51" t="s">
        <v>238</v>
      </c>
      <c r="D13" s="51" t="s">
        <v>206</v>
      </c>
      <c r="E13" s="96" t="str">
        <f>IFERROR(_xlfn.XLOOKUP(TeamList[[#This Row],[מס'' הקבוצה]],TimeTable[מס'' הקבוצה],TimeTable[מס'' החדר שיפוט]),"")</f>
        <v>4 אדום</v>
      </c>
      <c r="F13" s="52"/>
      <c r="J13" s="61">
        <v>44965</v>
      </c>
      <c r="K13" s="60"/>
    </row>
    <row r="14" spans="1:12" s="4" customFormat="1" ht="16.2" customHeight="1" x14ac:dyDescent="0.65">
      <c r="A14" s="217">
        <v>12</v>
      </c>
      <c r="B14" s="52">
        <v>515</v>
      </c>
      <c r="C14" s="51" t="s">
        <v>207</v>
      </c>
      <c r="D14" s="51" t="s">
        <v>208</v>
      </c>
      <c r="E14" s="96" t="str">
        <f>IFERROR(_xlfn.XLOOKUP(TeamList[[#This Row],[מס'' הקבוצה]],TimeTable[מס'' הקבוצה],TimeTable[מס'' החדר שיפוט]),"")</f>
        <v>5 אדום</v>
      </c>
      <c r="F14" s="52"/>
      <c r="J14" s="61">
        <v>44966</v>
      </c>
      <c r="K14" s="60"/>
    </row>
    <row r="15" spans="1:12" s="4" customFormat="1" ht="16.2" customHeight="1" x14ac:dyDescent="0.65">
      <c r="A15" s="217">
        <v>13</v>
      </c>
      <c r="B15" s="223">
        <v>3185</v>
      </c>
      <c r="C15" s="224" t="s">
        <v>223</v>
      </c>
      <c r="D15" s="224" t="s">
        <v>196</v>
      </c>
      <c r="E15" s="96" t="str">
        <f>IFERROR(_xlfn.XLOOKUP(TeamList[[#This Row],[מס'' הקבוצה]],TimeTable[מס'' הקבוצה],TimeTable[מס'' החדר שיפוט]),"")</f>
        <v>6 אדום</v>
      </c>
      <c r="F15" s="52"/>
      <c r="J15" s="61">
        <v>44978</v>
      </c>
      <c r="K15" s="60"/>
    </row>
    <row r="16" spans="1:12" s="4" customFormat="1" ht="16.2" customHeight="1" x14ac:dyDescent="0.65">
      <c r="A16" s="217">
        <v>14</v>
      </c>
      <c r="B16" s="52">
        <v>3179</v>
      </c>
      <c r="C16" s="51" t="s">
        <v>254</v>
      </c>
      <c r="D16" s="51" t="s">
        <v>209</v>
      </c>
      <c r="E16" s="96" t="str">
        <f>IFERROR(_xlfn.XLOOKUP(TeamList[[#This Row],[מס'' הקבוצה]],TimeTable[מס'' הקבוצה],TimeTable[מס'' החדר שיפוט]),"")</f>
        <v>7 אדום</v>
      </c>
      <c r="F16" s="52"/>
      <c r="I16" s="61"/>
      <c r="J16" s="61">
        <v>44979</v>
      </c>
      <c r="K16" s="60"/>
    </row>
    <row r="17" spans="1:11" s="4" customFormat="1" ht="16.2" customHeight="1" x14ac:dyDescent="0.65">
      <c r="A17" s="217">
        <v>15</v>
      </c>
      <c r="B17" s="52">
        <v>3146</v>
      </c>
      <c r="C17" s="51" t="s">
        <v>239</v>
      </c>
      <c r="D17" s="51" t="s">
        <v>210</v>
      </c>
      <c r="E17" s="96" t="str">
        <f>IFERROR(_xlfn.XLOOKUP(TeamList[[#This Row],[מס'' הקבוצה]],TimeTable[מס'' הקבוצה],TimeTable[מס'' החדר שיפוט]),"")</f>
        <v>1 אדום</v>
      </c>
      <c r="F17" s="52"/>
      <c r="I17" s="61"/>
      <c r="K17" s="60"/>
    </row>
    <row r="18" spans="1:11" s="4" customFormat="1" ht="16.2" customHeight="1" x14ac:dyDescent="0.65">
      <c r="A18" s="217">
        <v>16</v>
      </c>
      <c r="B18" s="52">
        <v>2977</v>
      </c>
      <c r="C18" s="51" t="s">
        <v>240</v>
      </c>
      <c r="D18" s="51" t="s">
        <v>211</v>
      </c>
      <c r="E18" s="96" t="str">
        <f>IFERROR(_xlfn.XLOOKUP(TeamList[[#This Row],[מס'' הקבוצה]],TimeTable[מס'' הקבוצה],TimeTable[מס'' החדר שיפוט]),"")</f>
        <v>2 אדום</v>
      </c>
      <c r="F18" s="52"/>
      <c r="I18" s="61"/>
      <c r="K18" s="60"/>
    </row>
    <row r="19" spans="1:11" s="4" customFormat="1" ht="16.2" customHeight="1" x14ac:dyDescent="0.65">
      <c r="A19" s="217">
        <v>17</v>
      </c>
      <c r="B19" s="52">
        <v>1083</v>
      </c>
      <c r="C19" s="51" t="s">
        <v>212</v>
      </c>
      <c r="D19" s="51" t="s">
        <v>213</v>
      </c>
      <c r="E19" s="96" t="str">
        <f>IFERROR(_xlfn.XLOOKUP(TeamList[[#This Row],[מס'' הקבוצה]],TimeTable[מס'' הקבוצה],TimeTable[מס'' החדר שיפוט]),"")</f>
        <v>3 אדום</v>
      </c>
      <c r="F19" s="52"/>
      <c r="I19" s="61"/>
    </row>
    <row r="20" spans="1:11" s="4" customFormat="1" ht="16.2" customHeight="1" x14ac:dyDescent="0.65">
      <c r="A20" s="217">
        <v>18</v>
      </c>
      <c r="B20" s="52">
        <v>1043</v>
      </c>
      <c r="C20" s="51" t="s">
        <v>227</v>
      </c>
      <c r="D20" s="51" t="s">
        <v>197</v>
      </c>
      <c r="E20" s="96" t="str">
        <f>IFERROR(_xlfn.XLOOKUP(TeamList[[#This Row],[מס'' הקבוצה]],TimeTable[מס'' הקבוצה],TimeTable[מס'' החדר שיפוט]),"")</f>
        <v>4 אדום</v>
      </c>
      <c r="F20" s="52"/>
      <c r="I20" s="61"/>
    </row>
    <row r="21" spans="1:11" s="4" customFormat="1" ht="16.2" customHeight="1" x14ac:dyDescent="0.65">
      <c r="A21" s="217">
        <v>19</v>
      </c>
      <c r="B21" s="52">
        <v>341</v>
      </c>
      <c r="C21" s="51" t="s">
        <v>255</v>
      </c>
      <c r="D21" s="51" t="s">
        <v>214</v>
      </c>
      <c r="E21" s="96" t="str">
        <f>IFERROR(_xlfn.XLOOKUP(TeamList[[#This Row],[מס'' הקבוצה]],TimeTable[מס'' הקבוצה],TimeTable[מס'' החדר שיפוט]),"")</f>
        <v>5 אדום</v>
      </c>
      <c r="F21" s="52"/>
      <c r="I21" s="61"/>
    </row>
    <row r="22" spans="1:11" s="4" customFormat="1" ht="16.2" customHeight="1" x14ac:dyDescent="0.65">
      <c r="A22" s="217">
        <v>20</v>
      </c>
      <c r="B22" s="52">
        <v>2222</v>
      </c>
      <c r="C22" s="51" t="s">
        <v>241</v>
      </c>
      <c r="D22" s="51" t="s">
        <v>196</v>
      </c>
      <c r="E22" s="96" t="str">
        <f>IFERROR(_xlfn.XLOOKUP(TeamList[[#This Row],[מס'' הקבוצה]],TimeTable[מס'' הקבוצה],TimeTable[מס'' החדר שיפוט]),"")</f>
        <v>6 אדום</v>
      </c>
      <c r="F22" s="52"/>
      <c r="I22" s="61"/>
    </row>
    <row r="23" spans="1:11" s="4" customFormat="1" ht="16.2" customHeight="1" x14ac:dyDescent="0.65">
      <c r="A23" s="217">
        <v>21</v>
      </c>
      <c r="B23" s="52">
        <v>3181</v>
      </c>
      <c r="C23" s="51" t="s">
        <v>230</v>
      </c>
      <c r="D23" s="51" t="s">
        <v>196</v>
      </c>
      <c r="E23" s="96" t="str">
        <f>IFERROR(_xlfn.XLOOKUP(TeamList[[#This Row],[מס'' הקבוצה]],TimeTable[מס'' הקבוצה],TimeTable[מס'' החדר שיפוט]),"")</f>
        <v>7 אדום</v>
      </c>
      <c r="F23" s="52"/>
    </row>
    <row r="24" spans="1:11" s="4" customFormat="1" ht="16.2" customHeight="1" x14ac:dyDescent="0.65">
      <c r="A24" s="217">
        <v>22</v>
      </c>
      <c r="B24" s="52">
        <v>3022</v>
      </c>
      <c r="C24" s="51" t="s">
        <v>242</v>
      </c>
      <c r="D24" s="51" t="s">
        <v>215</v>
      </c>
      <c r="E24" s="96" t="str">
        <f>IFERROR(_xlfn.XLOOKUP(TeamList[[#This Row],[מס'' הקבוצה]],TimeTable[מס'' הקבוצה],TimeTable[מס'' החדר שיפוט]),"")</f>
        <v>1 אדום</v>
      </c>
      <c r="F24" s="52"/>
    </row>
    <row r="25" spans="1:11" s="4" customFormat="1" ht="16.2" customHeight="1" x14ac:dyDescent="0.65">
      <c r="A25" s="217">
        <v>23</v>
      </c>
      <c r="B25" s="52">
        <v>1152</v>
      </c>
      <c r="C25" s="51" t="s">
        <v>246</v>
      </c>
      <c r="D25" s="51" t="s">
        <v>202</v>
      </c>
      <c r="E25" s="96" t="str">
        <f>IFERROR(_xlfn.XLOOKUP(TeamList[[#This Row],[מס'' הקבוצה]],TimeTable[מס'' הקבוצה],TimeTable[מס'' החדר שיפוט]),"")</f>
        <v>2 אדום</v>
      </c>
      <c r="F25" s="52"/>
    </row>
    <row r="26" spans="1:11" s="4" customFormat="1" ht="16.2" customHeight="1" x14ac:dyDescent="0.65">
      <c r="A26" s="217">
        <v>24</v>
      </c>
      <c r="B26" s="52">
        <v>1864</v>
      </c>
      <c r="C26" s="51" t="s">
        <v>241</v>
      </c>
      <c r="D26" s="51" t="s">
        <v>196</v>
      </c>
      <c r="E26" s="96" t="str">
        <f>IFERROR(_xlfn.XLOOKUP(TeamList[[#This Row],[מס'' הקבוצה]],TimeTable[מס'' הקבוצה],TimeTable[מס'' החדר שיפוט]),"")</f>
        <v>3 אדום</v>
      </c>
      <c r="F26" s="52"/>
    </row>
    <row r="27" spans="1:11" s="4" customFormat="1" ht="16.2" customHeight="1" x14ac:dyDescent="0.65">
      <c r="A27" s="217">
        <v>25</v>
      </c>
      <c r="B27" s="52">
        <v>2840</v>
      </c>
      <c r="C27" s="51" t="s">
        <v>254</v>
      </c>
      <c r="D27" s="51" t="s">
        <v>209</v>
      </c>
      <c r="E27" s="96" t="str">
        <f>IFERROR(_xlfn.XLOOKUP(TeamList[[#This Row],[מס'' הקבוצה]],TimeTable[מס'' הקבוצה],TimeTable[מס'' החדר שיפוט]),"")</f>
        <v>4 אדום</v>
      </c>
      <c r="F27" s="52"/>
    </row>
    <row r="28" spans="1:11" s="4" customFormat="1" ht="16.2" customHeight="1" x14ac:dyDescent="0.65">
      <c r="A28" s="217">
        <v>26</v>
      </c>
      <c r="B28" s="52">
        <v>52</v>
      </c>
      <c r="C28" s="51" t="s">
        <v>240</v>
      </c>
      <c r="D28" s="51" t="s">
        <v>211</v>
      </c>
      <c r="E28" s="96" t="str">
        <f>IFERROR(_xlfn.XLOOKUP(TeamList[[#This Row],[מס'' הקבוצה]],TimeTable[מס'' הקבוצה],TimeTable[מס'' החדר שיפוט]),"")</f>
        <v>5 אדום</v>
      </c>
      <c r="F28" s="52"/>
    </row>
    <row r="29" spans="1:11" s="4" customFormat="1" ht="16.2" customHeight="1" x14ac:dyDescent="0.65">
      <c r="A29" s="217">
        <v>27</v>
      </c>
      <c r="B29" s="52">
        <v>240</v>
      </c>
      <c r="C29" s="51" t="s">
        <v>216</v>
      </c>
      <c r="D29" s="51" t="s">
        <v>196</v>
      </c>
      <c r="E29" s="96" t="str">
        <f>IFERROR(_xlfn.XLOOKUP(TeamList[[#This Row],[מס'' הקבוצה]],TimeTable[מס'' הקבוצה],TimeTable[מס'' החדר שיפוט]),"")</f>
        <v>6 אדום</v>
      </c>
      <c r="F29" s="52"/>
    </row>
    <row r="30" spans="1:11" s="4" customFormat="1" ht="16.2" customHeight="1" x14ac:dyDescent="0.65">
      <c r="A30" s="217">
        <v>28</v>
      </c>
      <c r="B30" s="52">
        <v>1697</v>
      </c>
      <c r="C30" s="51" t="s">
        <v>243</v>
      </c>
      <c r="D30" s="51" t="s">
        <v>217</v>
      </c>
      <c r="E30" s="96" t="str">
        <f>IFERROR(_xlfn.XLOOKUP(TeamList[[#This Row],[מס'' הקבוצה]],TimeTable[מס'' הקבוצה],TimeTable[מס'' החדר שיפוט]),"")</f>
        <v>7 אדום</v>
      </c>
      <c r="F30" s="52"/>
    </row>
    <row r="31" spans="1:11" s="4" customFormat="1" ht="16.2" customHeight="1" x14ac:dyDescent="0.65">
      <c r="A31" s="217">
        <v>29</v>
      </c>
      <c r="B31" s="52">
        <v>1333</v>
      </c>
      <c r="C31" s="51" t="s">
        <v>241</v>
      </c>
      <c r="D31" s="51" t="s">
        <v>196</v>
      </c>
      <c r="E31" s="96" t="str">
        <f>IFERROR(_xlfn.XLOOKUP(TeamList[[#This Row],[מס'' הקבוצה]],TimeTable[מס'' הקבוצה],TimeTable[מס'' החדר שיפוט]),"")</f>
        <v>1 אדום</v>
      </c>
      <c r="F31" s="52"/>
    </row>
    <row r="32" spans="1:11" s="4" customFormat="1" ht="16.2" customHeight="1" x14ac:dyDescent="0.65">
      <c r="A32" s="217">
        <v>30</v>
      </c>
      <c r="B32" s="52">
        <v>662</v>
      </c>
      <c r="C32" s="51" t="s">
        <v>244</v>
      </c>
      <c r="D32" s="51" t="s">
        <v>218</v>
      </c>
      <c r="E32" s="96" t="str">
        <f>IFERROR(_xlfn.XLOOKUP(TeamList[[#This Row],[מס'' הקבוצה]],TimeTable[מס'' הקבוצה],TimeTable[מס'' החדר שיפוט]),"")</f>
        <v>2 אדום</v>
      </c>
      <c r="F32" s="52"/>
      <c r="I32" s="1"/>
    </row>
    <row r="33" spans="1:10" s="4" customFormat="1" ht="16.2" customHeight="1" x14ac:dyDescent="0.65">
      <c r="A33" s="217">
        <v>31</v>
      </c>
      <c r="B33" s="52">
        <v>1301</v>
      </c>
      <c r="C33" s="51" t="s">
        <v>219</v>
      </c>
      <c r="D33" s="51" t="s">
        <v>210</v>
      </c>
      <c r="E33" s="96" t="str">
        <f>IFERROR(_xlfn.XLOOKUP(TeamList[[#This Row],[מס'' הקבוצה]],TimeTable[מס'' הקבוצה],TimeTable[מס'' החדר שיפוט]),"")</f>
        <v>3 אדום</v>
      </c>
      <c r="F33" s="52"/>
      <c r="I33" s="1"/>
    </row>
    <row r="34" spans="1:10" s="4" customFormat="1" ht="16.2" customHeight="1" x14ac:dyDescent="0.65">
      <c r="A34" s="217">
        <v>32</v>
      </c>
      <c r="B34" s="52">
        <v>3182</v>
      </c>
      <c r="C34" s="51" t="s">
        <v>245</v>
      </c>
      <c r="D34" s="51" t="s">
        <v>196</v>
      </c>
      <c r="E34" s="96" t="str">
        <f>IFERROR(_xlfn.XLOOKUP(TeamList[[#This Row],[מס'' הקבוצה]],TimeTable[מס'' הקבוצה],TimeTable[מס'' החדר שיפוט]),"")</f>
        <v>4 אדום</v>
      </c>
      <c r="F34" s="52"/>
      <c r="I34" s="1"/>
    </row>
    <row r="35" spans="1:10" s="4" customFormat="1" ht="16.2" customHeight="1" x14ac:dyDescent="0.65">
      <c r="A35" s="217">
        <v>33</v>
      </c>
      <c r="B35" s="52">
        <v>1324</v>
      </c>
      <c r="C35" s="51" t="s">
        <v>255</v>
      </c>
      <c r="D35" s="51" t="s">
        <v>214</v>
      </c>
      <c r="E35" s="96" t="str">
        <f>IFERROR(_xlfn.XLOOKUP(TeamList[[#This Row],[מס'' הקבוצה]],TimeTable[מס'' הקבוצה],TimeTable[מס'' החדר שיפוט]),"")</f>
        <v>5 אדום</v>
      </c>
      <c r="F35" s="52"/>
      <c r="I35" s="1"/>
    </row>
    <row r="36" spans="1:10" s="4" customFormat="1" ht="16.2" customHeight="1" x14ac:dyDescent="0.65">
      <c r="A36" s="217">
        <v>34</v>
      </c>
      <c r="B36" s="52">
        <v>2622</v>
      </c>
      <c r="C36" s="51" t="s">
        <v>235</v>
      </c>
      <c r="D36" s="51" t="s">
        <v>201</v>
      </c>
      <c r="E36" s="96" t="str">
        <f>IFERROR(_xlfn.XLOOKUP(TeamList[[#This Row],[מס'' הקבוצה]],TimeTable[מס'' הקבוצה],TimeTable[מס'' החדר שיפוט]),"")</f>
        <v>6 אדום</v>
      </c>
      <c r="F36" s="52"/>
      <c r="I36" s="1"/>
    </row>
    <row r="37" spans="1:10" s="4" customFormat="1" ht="16.2" customHeight="1" x14ac:dyDescent="0.65">
      <c r="A37" s="217">
        <v>35</v>
      </c>
      <c r="B37" s="52">
        <v>1616</v>
      </c>
      <c r="C37" s="51" t="s">
        <v>232</v>
      </c>
      <c r="D37" s="51" t="s">
        <v>198</v>
      </c>
      <c r="E37" s="96" t="str">
        <f>IFERROR(_xlfn.XLOOKUP(TeamList[[#This Row],[מס'' הקבוצה]],TimeTable[מס'' הקבוצה],TimeTable[מס'' החדר שיפוט]),"")</f>
        <v>7 אדום</v>
      </c>
      <c r="F37" s="52"/>
      <c r="I37" s="1"/>
    </row>
    <row r="38" spans="1:10" s="4" customFormat="1" ht="16.2" customHeight="1" x14ac:dyDescent="0.65">
      <c r="A38" s="217">
        <v>36</v>
      </c>
      <c r="B38" s="52">
        <v>1214</v>
      </c>
      <c r="C38" s="51" t="s">
        <v>246</v>
      </c>
      <c r="D38" s="51" t="s">
        <v>202</v>
      </c>
      <c r="E38" s="96" t="str">
        <f>IFERROR(_xlfn.XLOOKUP(TeamList[[#This Row],[מס'' הקבוצה]],TimeTable[מס'' הקבוצה],TimeTable[מס'' החדר שיפוט]),"")</f>
        <v>1 אדום</v>
      </c>
      <c r="F38" s="52"/>
      <c r="I38" s="1"/>
    </row>
    <row r="39" spans="1:10" s="4" customFormat="1" ht="16.2" customHeight="1" x14ac:dyDescent="0.65">
      <c r="A39" s="217">
        <v>37</v>
      </c>
      <c r="B39" s="52">
        <v>1300</v>
      </c>
      <c r="C39" s="51" t="s">
        <v>219</v>
      </c>
      <c r="D39" s="51" t="s">
        <v>210</v>
      </c>
      <c r="E39" s="96" t="str">
        <f>IFERROR(_xlfn.XLOOKUP(TeamList[[#This Row],[מס'' הקבוצה]],TimeTable[מס'' הקבוצה],TimeTable[מס'' החדר שיפוט]),"")</f>
        <v>2 אדום</v>
      </c>
      <c r="F39" s="52"/>
      <c r="I39" s="1"/>
    </row>
    <row r="40" spans="1:10" s="4" customFormat="1" ht="16.2" customHeight="1" x14ac:dyDescent="0.65">
      <c r="A40" s="217">
        <v>38</v>
      </c>
      <c r="B40" s="52">
        <v>3340</v>
      </c>
      <c r="C40" s="51" t="s">
        <v>247</v>
      </c>
      <c r="D40" s="51" t="s">
        <v>220</v>
      </c>
      <c r="E40" s="96" t="str">
        <f>IFERROR(_xlfn.XLOOKUP(TeamList[[#This Row],[מס'' הקבוצה]],TimeTable[מס'' הקבוצה],TimeTable[מס'' החדר שיפוט]),"")</f>
        <v>3 אדום</v>
      </c>
      <c r="F40" s="52"/>
      <c r="I40"/>
      <c r="J40" s="3"/>
    </row>
    <row r="41" spans="1:10" s="4" customFormat="1" ht="16.2" customHeight="1" x14ac:dyDescent="0.65">
      <c r="A41" s="217">
        <v>39</v>
      </c>
      <c r="B41" s="52">
        <v>3128</v>
      </c>
      <c r="C41" s="51" t="s">
        <v>248</v>
      </c>
      <c r="D41" s="51" t="s">
        <v>221</v>
      </c>
      <c r="E41" s="96" t="str">
        <f>IFERROR(_xlfn.XLOOKUP(TeamList[[#This Row],[מס'' הקבוצה]],TimeTable[מס'' הקבוצה],TimeTable[מס'' החדר שיפוט]),"")</f>
        <v>4 אדום</v>
      </c>
      <c r="F41" s="52"/>
      <c r="I41" s="3"/>
      <c r="J41"/>
    </row>
    <row r="42" spans="1:10" s="4" customFormat="1" ht="16.2" customHeight="1" x14ac:dyDescent="0.65">
      <c r="A42" s="217">
        <v>40</v>
      </c>
      <c r="B42" s="52">
        <v>1099</v>
      </c>
      <c r="C42" s="51" t="s">
        <v>241</v>
      </c>
      <c r="D42" s="51" t="s">
        <v>196</v>
      </c>
      <c r="E42" s="96" t="str">
        <f>IFERROR(_xlfn.XLOOKUP(TeamList[[#This Row],[מס'' הקבוצה]],TimeTable[מס'' הקבוצה],TimeTable[מס'' החדר שיפוט]),"")</f>
        <v>5 אדום</v>
      </c>
      <c r="F42" s="52"/>
      <c r="I42" s="3"/>
      <c r="J42"/>
    </row>
    <row r="43" spans="1:10" s="4" customFormat="1" ht="16.2" customHeight="1" x14ac:dyDescent="0.65">
      <c r="A43" s="217">
        <v>41</v>
      </c>
      <c r="B43" s="52">
        <v>3294</v>
      </c>
      <c r="C43" s="51" t="s">
        <v>249</v>
      </c>
      <c r="D43" s="51" t="s">
        <v>222</v>
      </c>
      <c r="E43" s="96" t="str">
        <f>IFERROR(_xlfn.XLOOKUP(TeamList[[#This Row],[מס'' הקבוצה]],TimeTable[מס'' הקבוצה],TimeTable[מס'' החדר שיפוט]),"")</f>
        <v>6 אדום</v>
      </c>
      <c r="F43" s="52"/>
      <c r="I43" s="3"/>
      <c r="J43"/>
    </row>
    <row r="44" spans="1:10" s="4" customFormat="1" ht="16.2" customHeight="1" x14ac:dyDescent="0.65">
      <c r="A44" s="217">
        <v>42</v>
      </c>
      <c r="B44" s="52">
        <v>3184</v>
      </c>
      <c r="C44" s="51" t="s">
        <v>223</v>
      </c>
      <c r="D44" s="51" t="s">
        <v>196</v>
      </c>
      <c r="E44" s="96" t="str">
        <f>IFERROR(_xlfn.XLOOKUP(TeamList[[#This Row],[מס'' הקבוצה]],TimeTable[מס'' הקבוצה],TimeTable[מס'' החדר שיפוט]),"")</f>
        <v>7 אדום</v>
      </c>
      <c r="F44" s="52"/>
      <c r="I44" s="3"/>
      <c r="J44"/>
    </row>
    <row r="45" spans="1:10" s="4" customFormat="1" ht="16.2" customHeight="1" x14ac:dyDescent="0.65">
      <c r="A45" s="217">
        <v>43</v>
      </c>
      <c r="B45" s="52">
        <v>2748</v>
      </c>
      <c r="C45" s="51" t="s">
        <v>228</v>
      </c>
      <c r="D45" s="51" t="s">
        <v>224</v>
      </c>
      <c r="E45" s="96" t="str">
        <f>IFERROR(_xlfn.XLOOKUP(TeamList[[#This Row],[מס'' הקבוצה]],TimeTable[מס'' הקבוצה],TimeTable[מס'' החדר שיפוט]),"")</f>
        <v>1 אדום</v>
      </c>
      <c r="F45" s="52"/>
      <c r="I45" s="3"/>
      <c r="J45"/>
    </row>
    <row r="46" spans="1:10" s="4" customFormat="1" ht="16.2" customHeight="1" x14ac:dyDescent="0.65">
      <c r="A46" s="217">
        <v>44</v>
      </c>
      <c r="B46" s="52">
        <v>1332</v>
      </c>
      <c r="C46" s="51" t="s">
        <v>241</v>
      </c>
      <c r="D46" s="51" t="s">
        <v>196</v>
      </c>
      <c r="E46" s="96" t="str">
        <f>IFERROR(_xlfn.XLOOKUP(TeamList[[#This Row],[מס'' הקבוצה]],TimeTable[מס'' הקבוצה],TimeTable[מס'' החדר שיפוט]),"")</f>
        <v>2 אדום</v>
      </c>
      <c r="F46" s="52"/>
      <c r="I46" s="3"/>
      <c r="J46"/>
    </row>
    <row r="47" spans="1:10" s="4" customFormat="1" ht="16.2" customHeight="1" x14ac:dyDescent="0.65">
      <c r="A47" s="217">
        <v>45</v>
      </c>
      <c r="B47" s="52">
        <v>3006</v>
      </c>
      <c r="C47" s="51" t="s">
        <v>250</v>
      </c>
      <c r="D47" s="51" t="s">
        <v>224</v>
      </c>
      <c r="E47" s="96" t="str">
        <f>IFERROR(_xlfn.XLOOKUP(TeamList[[#This Row],[מס'' הקבוצה]],TimeTable[מס'' הקבוצה],TimeTable[מס'' החדר שיפוט]),"")</f>
        <v>3 אדום</v>
      </c>
      <c r="F47" s="52"/>
      <c r="I47" s="3"/>
      <c r="J47"/>
    </row>
    <row r="48" spans="1:10" s="4" customFormat="1" ht="16.2" customHeight="1" x14ac:dyDescent="0.65">
      <c r="A48" s="217">
        <v>46</v>
      </c>
      <c r="B48" s="52">
        <v>2130</v>
      </c>
      <c r="C48" s="51" t="s">
        <v>251</v>
      </c>
      <c r="D48" s="51" t="s">
        <v>225</v>
      </c>
      <c r="E48" s="96" t="str">
        <f>IFERROR(_xlfn.XLOOKUP(TeamList[[#This Row],[מס'' הקבוצה]],TimeTable[מס'' הקבוצה],TimeTable[מס'' החדר שיפוט]),"")</f>
        <v>4 אדום</v>
      </c>
      <c r="F48" s="52"/>
      <c r="I48" s="3"/>
      <c r="J48"/>
    </row>
    <row r="49" spans="1:10" s="4" customFormat="1" ht="16.2" customHeight="1" x14ac:dyDescent="0.65">
      <c r="A49" s="217">
        <v>47</v>
      </c>
      <c r="B49" s="52">
        <v>2843</v>
      </c>
      <c r="C49" s="51" t="s">
        <v>252</v>
      </c>
      <c r="D49" s="51" t="s">
        <v>226</v>
      </c>
      <c r="E49" s="96" t="str">
        <f>IFERROR(_xlfn.XLOOKUP(TeamList[[#This Row],[מס'' הקבוצה]],TimeTable[מס'' הקבוצה],TimeTable[מס'' החדר שיפוט]),"")</f>
        <v>5 אדום</v>
      </c>
      <c r="F49" s="52"/>
      <c r="I49" s="3"/>
      <c r="J49"/>
    </row>
    <row r="50" spans="1:10" s="4" customFormat="1" ht="16.2" customHeight="1" x14ac:dyDescent="0.65">
      <c r="A50" s="217">
        <v>48</v>
      </c>
      <c r="B50" s="52">
        <v>1720</v>
      </c>
      <c r="C50" s="51" t="s">
        <v>253</v>
      </c>
      <c r="D50" s="51" t="s">
        <v>196</v>
      </c>
      <c r="E50" s="96" t="str">
        <f>IFERROR(_xlfn.XLOOKUP(TeamList[[#This Row],[מס'' הקבוצה]],TimeTable[מס'' הקבוצה],TimeTable[מס'' החדר שיפוט]),"")</f>
        <v>6 אדום</v>
      </c>
      <c r="F50" s="52"/>
      <c r="I50" s="3"/>
      <c r="J50"/>
    </row>
    <row r="51" spans="1:10" ht="13.2" customHeight="1" x14ac:dyDescent="0.65"/>
  </sheetData>
  <sheetProtection formatCells="0" formatColumns="0" formatRows="0" selectLockedCells="1"/>
  <mergeCells count="1">
    <mergeCell ref="E1:F1"/>
  </mergeCells>
  <phoneticPr fontId="19" type="noConversion"/>
  <conditionalFormatting sqref="E3:F3 F5 F7 F9 F11 F13 F17 F19 F21 F23 F25 F27 F29 F31 F33 F35 F37 F39 F41 F43 E44:F49 E4:E14 E16:E43">
    <cfRule type="expression" dxfId="230" priority="3">
      <formula>$B3=""</formula>
    </cfRule>
  </conditionalFormatting>
  <conditionalFormatting sqref="F4 F6 F8 F10 F12 F14 F16 F18 F20 F22 F24 F26 F28 F30 F32 F34 F36 F38 F40 F42">
    <cfRule type="expression" dxfId="229" priority="2">
      <formula>$B4=""</formula>
    </cfRule>
  </conditionalFormatting>
  <conditionalFormatting sqref="E15:F15">
    <cfRule type="expression" dxfId="228" priority="6">
      <formula>$B50=""</formula>
    </cfRule>
  </conditionalFormatting>
  <conditionalFormatting sqref="E50:F50">
    <cfRule type="expression" dxfId="227" priority="7">
      <formula>$B15=""</formula>
    </cfRule>
  </conditionalFormatting>
  <dataValidations xWindow="550" yWindow="370" count="2">
    <dataValidation type="list" allowBlank="1" showInputMessage="1" showErrorMessage="1" prompt="בחר מהרשימה" sqref="E1" xr:uid="{4B1BE6A5-2FA3-4E01-9910-7E2C1CDD8509}">
      <formula1>Dates</formula1>
    </dataValidation>
    <dataValidation type="list" allowBlank="1" showInputMessage="1" error="יש לבחור מהרשימה" prompt="בחר מהרשימה" sqref="C1" xr:uid="{68DC7995-60C2-417A-BFB0-2BB0F3B81E6B}">
      <formula1>#REF!</formula1>
    </dataValidation>
  </dataValidations>
  <pageMargins left="0.23622047244094491" right="0.62" top="0.14000000000000001" bottom="0.11811023622047245" header="0.12" footer="0.1181102362204724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5281-859E-4A8A-AF76-740B76D6ECE9}">
  <dimension ref="A1:B48"/>
  <sheetViews>
    <sheetView rightToLeft="1" topLeftCell="A25" workbookViewId="0">
      <selection activeCell="G37" sqref="G37"/>
    </sheetView>
  </sheetViews>
  <sheetFormatPr defaultRowHeight="14.25" x14ac:dyDescent="0.65"/>
  <cols>
    <col min="2" max="2" width="10.7890625" style="3" customWidth="1"/>
  </cols>
  <sheetData>
    <row r="1" spans="1:2" ht="14.5" x14ac:dyDescent="0.65">
      <c r="A1" s="99" t="s">
        <v>55</v>
      </c>
      <c r="B1" s="100" t="s">
        <v>0</v>
      </c>
    </row>
    <row r="2" spans="1:2" x14ac:dyDescent="0.65">
      <c r="A2" s="2">
        <v>1</v>
      </c>
      <c r="B2" s="52">
        <v>2476</v>
      </c>
    </row>
    <row r="3" spans="1:2" x14ac:dyDescent="0.65">
      <c r="A3" s="2">
        <v>2</v>
      </c>
      <c r="B3" s="52">
        <v>787</v>
      </c>
    </row>
    <row r="4" spans="1:2" x14ac:dyDescent="0.65">
      <c r="A4" s="2">
        <v>3</v>
      </c>
      <c r="B4" s="52">
        <v>696</v>
      </c>
    </row>
    <row r="5" spans="1:2" x14ac:dyDescent="0.65">
      <c r="A5" s="2">
        <v>4</v>
      </c>
      <c r="B5" s="52">
        <v>1520</v>
      </c>
    </row>
    <row r="6" spans="1:2" x14ac:dyDescent="0.65">
      <c r="A6" s="2">
        <v>5</v>
      </c>
      <c r="B6" s="52">
        <v>137</v>
      </c>
    </row>
    <row r="7" spans="1:2" x14ac:dyDescent="0.65">
      <c r="A7" s="2">
        <v>6</v>
      </c>
      <c r="B7" s="52">
        <v>72</v>
      </c>
    </row>
    <row r="8" spans="1:2" x14ac:dyDescent="0.65">
      <c r="A8" s="2">
        <v>7</v>
      </c>
      <c r="B8" s="52">
        <v>3022</v>
      </c>
    </row>
    <row r="9" spans="1:2" x14ac:dyDescent="0.65">
      <c r="A9" s="2">
        <v>8</v>
      </c>
      <c r="B9" s="52">
        <v>452</v>
      </c>
    </row>
    <row r="10" spans="1:2" x14ac:dyDescent="0.65">
      <c r="A10" s="2">
        <v>9</v>
      </c>
      <c r="B10" s="52">
        <v>3093</v>
      </c>
    </row>
    <row r="11" spans="1:2" x14ac:dyDescent="0.65">
      <c r="A11" s="2">
        <v>10</v>
      </c>
      <c r="B11" s="52">
        <v>3003</v>
      </c>
    </row>
    <row r="12" spans="1:2" x14ac:dyDescent="0.65">
      <c r="A12" s="2">
        <v>11</v>
      </c>
      <c r="B12" s="52">
        <v>1350</v>
      </c>
    </row>
    <row r="13" spans="1:2" x14ac:dyDescent="0.65">
      <c r="A13" s="2">
        <v>12</v>
      </c>
      <c r="B13" s="52">
        <v>2238</v>
      </c>
    </row>
    <row r="14" spans="1:2" x14ac:dyDescent="0.65">
      <c r="A14" s="2">
        <v>13</v>
      </c>
      <c r="B14" s="52">
        <v>2649</v>
      </c>
    </row>
    <row r="15" spans="1:2" x14ac:dyDescent="0.65">
      <c r="A15" s="2">
        <v>14</v>
      </c>
      <c r="B15" s="52">
        <v>2331</v>
      </c>
    </row>
    <row r="16" spans="1:2" x14ac:dyDescent="0.65">
      <c r="A16" s="2">
        <v>15</v>
      </c>
      <c r="B16" s="52">
        <v>2333</v>
      </c>
    </row>
    <row r="17" spans="1:2" x14ac:dyDescent="0.65">
      <c r="A17" s="2">
        <v>16</v>
      </c>
      <c r="B17" s="52">
        <v>3253</v>
      </c>
    </row>
    <row r="18" spans="1:2" x14ac:dyDescent="0.65">
      <c r="A18" s="2">
        <v>17</v>
      </c>
      <c r="B18" s="52">
        <v>3013</v>
      </c>
    </row>
    <row r="19" spans="1:2" x14ac:dyDescent="0.65">
      <c r="A19" s="2">
        <v>18</v>
      </c>
      <c r="B19" s="52">
        <v>957</v>
      </c>
    </row>
    <row r="20" spans="1:2" x14ac:dyDescent="0.65">
      <c r="A20" s="2">
        <v>19</v>
      </c>
      <c r="B20" s="52">
        <v>1331</v>
      </c>
    </row>
    <row r="21" spans="1:2" x14ac:dyDescent="0.65">
      <c r="A21" s="2">
        <v>20</v>
      </c>
      <c r="B21" s="52">
        <v>3140</v>
      </c>
    </row>
    <row r="22" spans="1:2" x14ac:dyDescent="0.65">
      <c r="A22" s="2">
        <v>21</v>
      </c>
      <c r="B22" s="52">
        <v>3191</v>
      </c>
    </row>
    <row r="23" spans="1:2" x14ac:dyDescent="0.65">
      <c r="A23" s="2">
        <v>22</v>
      </c>
      <c r="B23" s="52">
        <v>693</v>
      </c>
    </row>
    <row r="24" spans="1:2" x14ac:dyDescent="0.65">
      <c r="A24" s="2">
        <v>23</v>
      </c>
      <c r="B24" s="52">
        <v>3323</v>
      </c>
    </row>
    <row r="25" spans="1:2" x14ac:dyDescent="0.65">
      <c r="A25" s="2">
        <v>24</v>
      </c>
      <c r="B25" s="52">
        <v>3192</v>
      </c>
    </row>
    <row r="26" spans="1:2" x14ac:dyDescent="0.65">
      <c r="A26" s="2">
        <v>25</v>
      </c>
      <c r="B26" s="52">
        <v>3251</v>
      </c>
    </row>
    <row r="27" spans="1:2" x14ac:dyDescent="0.65">
      <c r="A27" s="2">
        <v>26</v>
      </c>
      <c r="B27" s="52">
        <v>518</v>
      </c>
    </row>
    <row r="28" spans="1:2" x14ac:dyDescent="0.65">
      <c r="A28" s="2">
        <v>27</v>
      </c>
      <c r="B28" s="52">
        <v>2848</v>
      </c>
    </row>
    <row r="29" spans="1:2" x14ac:dyDescent="0.65">
      <c r="A29" s="2">
        <v>28</v>
      </c>
      <c r="B29" s="52">
        <v>1521</v>
      </c>
    </row>
    <row r="30" spans="1:2" x14ac:dyDescent="0.65">
      <c r="A30" s="2">
        <v>29</v>
      </c>
      <c r="B30" s="52">
        <v>660</v>
      </c>
    </row>
    <row r="31" spans="1:2" x14ac:dyDescent="0.65">
      <c r="A31" s="2">
        <v>30</v>
      </c>
      <c r="B31" s="52">
        <v>3002</v>
      </c>
    </row>
    <row r="32" spans="1:2" x14ac:dyDescent="0.65">
      <c r="A32" s="2">
        <v>31</v>
      </c>
      <c r="B32" s="52">
        <v>888</v>
      </c>
    </row>
    <row r="33" spans="1:2" x14ac:dyDescent="0.65">
      <c r="A33" s="2">
        <v>32</v>
      </c>
      <c r="B33" s="52">
        <v>3100</v>
      </c>
    </row>
    <row r="34" spans="1:2" x14ac:dyDescent="0.65">
      <c r="A34" s="2">
        <v>33</v>
      </c>
      <c r="B34" s="52">
        <v>453</v>
      </c>
    </row>
    <row r="35" spans="1:2" x14ac:dyDescent="0.65">
      <c r="A35" s="2">
        <v>34</v>
      </c>
      <c r="B35" s="52">
        <v>771</v>
      </c>
    </row>
    <row r="36" spans="1:2" x14ac:dyDescent="0.65">
      <c r="A36" s="2">
        <v>35</v>
      </c>
      <c r="B36" s="52">
        <v>910</v>
      </c>
    </row>
    <row r="37" spans="1:2" x14ac:dyDescent="0.65">
      <c r="A37" s="2">
        <v>36</v>
      </c>
      <c r="B37" s="52">
        <v>3288</v>
      </c>
    </row>
    <row r="38" spans="1:2" x14ac:dyDescent="0.65">
      <c r="A38" s="2">
        <v>37</v>
      </c>
      <c r="B38" s="52">
        <v>973</v>
      </c>
    </row>
    <row r="39" spans="1:2" x14ac:dyDescent="0.65">
      <c r="A39" s="2">
        <v>38</v>
      </c>
      <c r="B39" s="52">
        <v>2648</v>
      </c>
    </row>
    <row r="40" spans="1:2" x14ac:dyDescent="0.65">
      <c r="A40" s="2">
        <v>39</v>
      </c>
      <c r="B40" s="52">
        <v>1714</v>
      </c>
    </row>
    <row r="41" spans="1:2" x14ac:dyDescent="0.65">
      <c r="A41" s="2">
        <v>40</v>
      </c>
      <c r="B41" s="52">
        <v>3101</v>
      </c>
    </row>
    <row r="42" spans="1:2" x14ac:dyDescent="0.65">
      <c r="A42" s="2">
        <v>41</v>
      </c>
      <c r="B42" s="52">
        <v>3252</v>
      </c>
    </row>
    <row r="43" spans="1:2" x14ac:dyDescent="0.65">
      <c r="A43" s="2">
        <v>42</v>
      </c>
      <c r="B43" s="52">
        <v>1964</v>
      </c>
    </row>
    <row r="44" spans="1:2" x14ac:dyDescent="0.65">
      <c r="A44" s="2">
        <v>43</v>
      </c>
      <c r="B44" s="52">
        <v>2918</v>
      </c>
    </row>
    <row r="45" spans="1:2" x14ac:dyDescent="0.65">
      <c r="A45" s="2">
        <v>44</v>
      </c>
      <c r="B45" s="52">
        <v>1517</v>
      </c>
    </row>
    <row r="46" spans="1:2" x14ac:dyDescent="0.65">
      <c r="A46" s="2">
        <v>45</v>
      </c>
      <c r="B46" s="52">
        <v>3318</v>
      </c>
    </row>
    <row r="47" spans="1:2" x14ac:dyDescent="0.65">
      <c r="A47" s="2">
        <v>46</v>
      </c>
      <c r="B47" s="52">
        <v>697</v>
      </c>
    </row>
    <row r="48" spans="1:2" x14ac:dyDescent="0.65">
      <c r="A48" s="2">
        <v>47</v>
      </c>
      <c r="B48" s="52">
        <v>2875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9B40-2D3F-4B7F-B959-362E2E2F576B}">
  <sheetPr codeName="Sheet2"/>
  <dimension ref="A1:AU242"/>
  <sheetViews>
    <sheetView rightToLeft="1" topLeftCell="Z1" zoomScaleNormal="100" workbookViewId="0">
      <selection activeCell="AE8" sqref="AE8"/>
    </sheetView>
  </sheetViews>
  <sheetFormatPr defaultRowHeight="14.25" x14ac:dyDescent="0.65"/>
  <cols>
    <col min="1" max="1" width="4.70703125" hidden="1" customWidth="1"/>
    <col min="2" max="2" width="6.70703125" style="10" hidden="1" customWidth="1"/>
    <col min="3" max="4" width="8.7890625" style="5" hidden="1" customWidth="1"/>
    <col min="5" max="8" width="7.7890625" style="3" hidden="1" customWidth="1"/>
    <col min="9" max="9" width="8.08203125" style="3" hidden="1" customWidth="1"/>
    <col min="10" max="10" width="8.7890625" style="3" hidden="1" customWidth="1"/>
    <col min="11" max="11" width="10.20703125" style="3" hidden="1" customWidth="1"/>
    <col min="12" max="12" width="7.7890625" style="3" hidden="1" customWidth="1"/>
    <col min="13" max="13" width="6.20703125" style="3" hidden="1" customWidth="1"/>
    <col min="14" max="14" width="8.7890625" style="3" hidden="1" customWidth="1"/>
    <col min="15" max="15" width="8.7890625" style="1" hidden="1" customWidth="1"/>
    <col min="16" max="17" width="8.7890625" style="5" hidden="1" customWidth="1"/>
    <col min="18" max="20" width="6.2890625" hidden="1" customWidth="1"/>
    <col min="21" max="21" width="7.20703125" hidden="1" customWidth="1"/>
    <col min="22" max="22" width="8.08203125" hidden="1" customWidth="1"/>
    <col min="23" max="23" width="8.7890625" hidden="1" customWidth="1"/>
    <col min="24" max="24" width="10.20703125" hidden="1" customWidth="1"/>
    <col min="25" max="25" width="10.08203125" hidden="1" customWidth="1"/>
    <col min="27" max="27" width="6" style="71" customWidth="1"/>
    <col min="28" max="29" width="7.20703125" style="71" customWidth="1"/>
    <col min="30" max="37" width="13.70703125" style="96" customWidth="1"/>
  </cols>
  <sheetData>
    <row r="1" spans="1:37" s="4" customFormat="1" ht="31.5" customHeight="1" thickBot="1" x14ac:dyDescent="0.8">
      <c r="B1" s="2"/>
      <c r="C1" s="5"/>
      <c r="D1" s="5"/>
      <c r="E1" s="39" t="str">
        <f>R1</f>
        <v>1 אדום</v>
      </c>
      <c r="F1" s="39" t="str">
        <f t="shared" ref="F1:L1" si="0">S1</f>
        <v>2 אדום</v>
      </c>
      <c r="G1" s="39" t="str">
        <f t="shared" si="0"/>
        <v>3 אדום</v>
      </c>
      <c r="H1" s="39" t="str">
        <f t="shared" si="0"/>
        <v>4 אדום</v>
      </c>
      <c r="I1" s="39" t="str">
        <f t="shared" si="0"/>
        <v>5 אדום</v>
      </c>
      <c r="J1" s="39" t="str">
        <f t="shared" si="0"/>
        <v>6 אדום</v>
      </c>
      <c r="K1" s="39" t="str">
        <f t="shared" si="0"/>
        <v>7 אדום</v>
      </c>
      <c r="L1" s="39" t="str">
        <f t="shared" si="0"/>
        <v>8 אדום</v>
      </c>
      <c r="M1" s="40"/>
      <c r="N1" s="1"/>
      <c r="O1" s="1"/>
      <c r="P1" s="5"/>
      <c r="Q1" s="5"/>
      <c r="R1" s="39" t="str">
        <f>_xlfn.XLOOKUP(1,Table_names[מסד],Table_names[שם מלא])</f>
        <v>1 אדום</v>
      </c>
      <c r="S1" s="39" t="str">
        <f>_xlfn.XLOOKUP(2,Table_names[מסד],Table_names[שם מלא])</f>
        <v>2 אדום</v>
      </c>
      <c r="T1" s="39" t="str">
        <f>_xlfn.XLOOKUP(3,Table_names[מסד],Table_names[שם מלא])</f>
        <v>3 אדום</v>
      </c>
      <c r="U1" s="39" t="str">
        <f>_xlfn.XLOOKUP(4,Table_names[מסד],Table_names[שם מלא])</f>
        <v>4 אדום</v>
      </c>
      <c r="V1" s="39" t="str">
        <f>_xlfn.XLOOKUP(5,Table_names[מסד],Table_names[שם מלא])</f>
        <v>5 אדום</v>
      </c>
      <c r="W1" s="39" t="str">
        <f>_xlfn.XLOOKUP(6,Table_names[מסד],Table_names[שם מלא])</f>
        <v>6 אדום</v>
      </c>
      <c r="X1" s="39" t="str">
        <f>_xlfn.XLOOKUP(7,Table_names[מסד],Table_names[שם מלא])</f>
        <v>7 אדום</v>
      </c>
      <c r="Y1" s="39" t="str">
        <f>_xlfn.XLOOKUP(8,Table_names[מסד],Table_names[שם מלא])</f>
        <v>8 אדום</v>
      </c>
      <c r="AA1" s="89"/>
      <c r="AB1" s="89"/>
      <c r="AC1" s="89"/>
      <c r="AD1" s="90"/>
      <c r="AE1" s="90"/>
      <c r="AF1" s="88" t="s">
        <v>32</v>
      </c>
      <c r="AG1" s="88" t="s">
        <v>33</v>
      </c>
      <c r="AH1" s="91" t="str">
        <f>'רשימת הקבוצות'!$C$1</f>
        <v>מוקדמות מס'</v>
      </c>
      <c r="AI1" s="92" t="str">
        <f>'רשימת הקבוצות'!$D$1</f>
        <v>4   בית אדום</v>
      </c>
      <c r="AJ1" s="244">
        <f>'רשימת הקבוצות'!$E$1</f>
        <v>44965</v>
      </c>
      <c r="AK1" s="244"/>
    </row>
    <row r="2" spans="1:37" s="4" customFormat="1" ht="29.4" customHeight="1" thickTop="1" thickBot="1" x14ac:dyDescent="0.8">
      <c r="B2" s="243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38"/>
      <c r="N2" s="38"/>
      <c r="O2" s="1"/>
      <c r="P2" s="243" t="s">
        <v>20</v>
      </c>
      <c r="Q2" s="243"/>
      <c r="R2" s="243"/>
      <c r="S2" s="243"/>
      <c r="T2" s="243"/>
      <c r="U2" s="243"/>
      <c r="V2" s="243"/>
      <c r="W2" s="243"/>
      <c r="X2" s="243"/>
      <c r="Y2" s="243"/>
      <c r="AA2" s="239" t="s">
        <v>188</v>
      </c>
      <c r="AB2" s="239"/>
      <c r="AC2" s="239"/>
      <c r="AD2" s="239"/>
      <c r="AE2" s="239"/>
      <c r="AF2" s="239"/>
      <c r="AG2" s="239"/>
      <c r="AH2" s="239"/>
      <c r="AI2" s="239"/>
      <c r="AJ2" s="239"/>
      <c r="AK2" s="239"/>
    </row>
    <row r="3" spans="1:37" s="7" customFormat="1" ht="24.65" customHeight="1" thickBot="1" x14ac:dyDescent="0.8">
      <c r="B3" s="8" t="s">
        <v>4</v>
      </c>
      <c r="C3" s="9" t="s">
        <v>22</v>
      </c>
      <c r="D3" s="9" t="s">
        <v>23</v>
      </c>
      <c r="E3" s="39" t="s">
        <v>115</v>
      </c>
      <c r="F3" s="39" t="s">
        <v>116</v>
      </c>
      <c r="G3" s="39" t="s">
        <v>117</v>
      </c>
      <c r="H3" s="39" t="s">
        <v>118</v>
      </c>
      <c r="I3" s="39" t="s">
        <v>119</v>
      </c>
      <c r="J3" s="39" t="s">
        <v>120</v>
      </c>
      <c r="K3" s="39" t="s">
        <v>121</v>
      </c>
      <c r="L3" s="39" t="s">
        <v>122</v>
      </c>
      <c r="M3" s="8"/>
      <c r="N3" s="8"/>
      <c r="O3" s="8" t="s">
        <v>4</v>
      </c>
      <c r="P3" s="9" t="s">
        <v>22</v>
      </c>
      <c r="Q3" s="9" t="s">
        <v>23</v>
      </c>
      <c r="R3" s="39" t="s">
        <v>115</v>
      </c>
      <c r="S3" s="39" t="s">
        <v>116</v>
      </c>
      <c r="T3" s="39" t="s">
        <v>117</v>
      </c>
      <c r="U3" s="39" t="s">
        <v>118</v>
      </c>
      <c r="V3" s="39" t="s">
        <v>119</v>
      </c>
      <c r="W3" s="39" t="s">
        <v>120</v>
      </c>
      <c r="X3" s="39" t="s">
        <v>121</v>
      </c>
      <c r="Y3" s="39" t="s">
        <v>122</v>
      </c>
      <c r="AA3" s="93" t="s">
        <v>30</v>
      </c>
      <c r="AB3" s="94" t="s">
        <v>22</v>
      </c>
      <c r="AC3" s="94" t="s">
        <v>23</v>
      </c>
      <c r="AD3" s="95" t="str">
        <f>R$1</f>
        <v>1 אדום</v>
      </c>
      <c r="AE3" s="95" t="str">
        <f t="shared" ref="AE3:AK3" si="1">S$1</f>
        <v>2 אדום</v>
      </c>
      <c r="AF3" s="95" t="str">
        <f t="shared" si="1"/>
        <v>3 אדום</v>
      </c>
      <c r="AG3" s="95" t="str">
        <f t="shared" si="1"/>
        <v>4 אדום</v>
      </c>
      <c r="AH3" s="95" t="str">
        <f t="shared" si="1"/>
        <v>5 אדום</v>
      </c>
      <c r="AI3" s="95" t="str">
        <f t="shared" si="1"/>
        <v>6 אדום</v>
      </c>
      <c r="AJ3" s="95" t="str">
        <f t="shared" si="1"/>
        <v>7 אדום</v>
      </c>
      <c r="AK3" s="95" t="str">
        <f t="shared" si="1"/>
        <v>8 אדום</v>
      </c>
    </row>
    <row r="4" spans="1:37" s="4" customFormat="1" ht="14.4" customHeight="1" x14ac:dyDescent="0.65">
      <c r="A4" s="35">
        <v>0</v>
      </c>
      <c r="B4" s="1">
        <f>_xlfn.XLOOKUP(N,break_scheduler['# of teams],break_scheduler[Round matches])+1</f>
        <v>13</v>
      </c>
      <c r="C4" s="34">
        <f t="shared" ref="C4:C14" si="2">start_round_I+ORM*A4</f>
        <v>0.44097222222222221</v>
      </c>
      <c r="D4" s="34">
        <f>HRGame1Table[[#This Row],[התחלה]]+TIME(0,3,0)</f>
        <v>0.44305555555555554</v>
      </c>
      <c r="E4" s="41">
        <f ca="1">IFERROR(INDEX(OFFSET('תכנית לפי קבוצות'!$C$62,$A4*4,0,4,4),MATCH(E$1,OFFSET('תכנית לפי קבוצות'!$F$62,$A4*4,0,4,1),0),1),"")</f>
        <v>27</v>
      </c>
      <c r="F4" s="41">
        <f ca="1">IFERROR(INDEX(OFFSET('תכנית לפי קבוצות'!$C$62,$A4*4,0,4,4),MATCH(F$1,OFFSET('תכנית לפי קבוצות'!$F$62,$A4*4,0,4,1),0),1),"")</f>
        <v>29</v>
      </c>
      <c r="G4" s="41">
        <f ca="1">IFERROR(INDEX(OFFSET('תכנית לפי קבוצות'!$C$62,$A4*4,0,4,4),MATCH(G$1,OFFSET('תכנית לפי קבוצות'!$F$62,$A4*4,0,4,1),0),1),"")</f>
        <v>23</v>
      </c>
      <c r="H4" s="41">
        <f ca="1">IFERROR(INDEX(OFFSET('תכנית לפי קבוצות'!$C$62,$A4*4,0,4,4),MATCH(H$1,OFFSET('תכנית לפי קבוצות'!$F$62,$A4*4,0,4,1),0),1),"")</f>
        <v>25</v>
      </c>
      <c r="I4" s="41" t="str">
        <f ca="1">IFERROR(INDEX(OFFSET('תכנית לפי קבוצות'!$C$62,$A4*4,0,4,4),MATCH(I$1,OFFSET('תכנית לפי קבוצות'!$F$62,$A4*4,0,4,1),0),1),"")</f>
        <v/>
      </c>
      <c r="J4" s="41" t="str">
        <f ca="1">IFERROR(INDEX(OFFSET('תכנית לפי קבוצות'!$C$62,$A4*4,0,4,4),MATCH(J$1,OFFSET('תכנית לפי קבוצות'!$F$62,$A4*4,0,4,1),0),1),"")</f>
        <v/>
      </c>
      <c r="K4" s="41" t="str">
        <f ca="1">IFERROR(INDEX(OFFSET('תכנית לפי קבוצות'!$C$62,$A4*4,0,4,4),MATCH(K$1,OFFSET('תכנית לפי קבוצות'!$F$62,$A4*4,0,4,1),0),1),"")</f>
        <v/>
      </c>
      <c r="L4" s="41" t="str">
        <f ca="1">IFERROR(INDEX(OFFSET('תכנית לפי קבוצות'!$C$62,$A4*4,0,4,4),MATCH(L$1,OFFSET('תכנית לפי קבוצות'!$F$62,$A4*4,0,4,1),0),1),"")</f>
        <v/>
      </c>
      <c r="M4" s="1"/>
      <c r="N4" s="1"/>
      <c r="O4" s="1">
        <v>1</v>
      </c>
      <c r="P4" s="34">
        <f>START</f>
        <v>0.36458333333333331</v>
      </c>
      <c r="Q4" s="34">
        <f>HRPracticeTable[[#This Row],[התחלה]]+TIME(0,3,0)</f>
        <v>0.36666666666666664</v>
      </c>
      <c r="R4" s="1">
        <f ca="1">IFERROR(INDEX(OFFSET('תכנית לפי קבוצות'!$L$62,$A4*4,0,4,4),MATCH(R$1,OFFSET('תכנית לפי קבוצות'!$O$62,$A4*4,0,4,1),0),1),"")</f>
        <v>8</v>
      </c>
      <c r="S4" s="1">
        <f ca="1">IFERROR(INDEX(OFFSET('תכנית לפי קבוצות'!$L$62,$A4*4,0,4,4),MATCH(S$1,OFFSET('תכנית לפי קבוצות'!$O$62,$A4*4,0,4,1),0),1),"")</f>
        <v>12</v>
      </c>
      <c r="T4" s="1">
        <f ca="1">IFERROR(INDEX(OFFSET('תכנית לפי קבוצות'!$L$62,$A4*4,0,4,4),MATCH(T$1,OFFSET('תכנית לפי קבוצות'!$O$62,$A4*4,0,4,1),0),1),"")</f>
        <v>17</v>
      </c>
      <c r="U4" s="1">
        <f ca="1">IFERROR(INDEX(OFFSET('תכנית לפי קבוצות'!$L$62,$A4*4,0,4,4),MATCH(U$1,OFFSET('תכנית לפי קבוצות'!$O$62,$A4*4,0,4,1),0),1),"")</f>
        <v>21</v>
      </c>
      <c r="V4" s="1" t="str">
        <f ca="1">IFERROR(INDEX(OFFSET('תכנית לפי קבוצות'!$L$62,$A4*4,0,4,4),MATCH(V$1,OFFSET('תכנית לפי קבוצות'!$O$62,$A4*4,0,4,1),0),1),"")</f>
        <v/>
      </c>
      <c r="W4" s="1" t="str">
        <f ca="1">IFERROR(INDEX(OFFSET('תכנית לפי קבוצות'!$L$62,$A4*4,0,4,4),MATCH(W$1,OFFSET('תכנית לפי קבוצות'!$O$62,$A4*4,0,4,1),0),1),"")</f>
        <v/>
      </c>
      <c r="X4" s="1" t="str">
        <f ca="1">IFERROR(INDEX(OFFSET('תכנית לפי קבוצות'!$L$62,$A4*4,0,4,4),MATCH(X$1,OFFSET('תכנית לפי קבוצות'!$O$62,$A4*4,0,4,1),0),1),"")</f>
        <v/>
      </c>
      <c r="Y4" s="1" t="str">
        <f ca="1">IFERROR(INDEX(OFFSET('תכנית לפי קבוצות'!$L$62,$A4*4,0,4,4),MATCH(Y$1,OFFSET('תכנית לפי קבוצות'!$O$62,$A4*4,0,4,1),0),1),"")</f>
        <v/>
      </c>
      <c r="AA4" s="231">
        <v>1</v>
      </c>
      <c r="AB4" s="233">
        <f>HRPracticeTable[[#This Row],[התחלה]]</f>
        <v>0.36458333333333331</v>
      </c>
      <c r="AC4" s="233">
        <f>AB4+TIME(0,3,0)</f>
        <v>0.36666666666666664</v>
      </c>
      <c r="AD4" s="23" t="str">
        <f ca="1">IFERROR(CONCATENATE(_xlfn.XLOOKUP(R4,TeamList[מס"ד],TeamList[מס'' הקבוצה])," ",_xlfn.XLOOKUP(R4,TeamList[מס"ד],TeamList[שם הקבוצה])),"")</f>
        <v xml:space="preserve">2978 אל-קסטל </v>
      </c>
      <c r="AE4" s="23" t="str">
        <f ca="1">IFERROR(CONCATENATE(_xlfn.XLOOKUP(S4,TeamList[מס"ד],TeamList[מס'' הקבוצה])," ",_xlfn.XLOOKUP(S4,TeamList[מס"ד],TeamList[שם הקבוצה])),"")</f>
        <v xml:space="preserve">515 אשכול פיס </v>
      </c>
      <c r="AF4" s="23" t="str">
        <f ca="1">IFERROR(CONCATENATE(_xlfn.XLOOKUP(T4,TeamList[מס"ד],TeamList[מס'' הקבוצה])," ",_xlfn.XLOOKUP(T4,TeamList[מס"ד],TeamList[שם הקבוצה])),"")</f>
        <v>1083 AGCTeam</v>
      </c>
      <c r="AG4" s="23" t="str">
        <f ca="1">IFERROR(CONCATENATE(_xlfn.XLOOKUP(U4,TeamList[מס"ד],TeamList[מס'' הקבוצה])," ",_xlfn.XLOOKUP(U4,TeamList[מס"ד],TeamList[שם הקבוצה])),"")</f>
        <v>3181 פלך בנים</v>
      </c>
      <c r="AH4" s="23" t="str">
        <f ca="1">IFERROR(CONCATENATE(_xlfn.XLOOKUP(V4,TeamList[מס"ד],TeamList[מס'' הקבוצה])," ",_xlfn.XLOOKUP(V4,TeamList[מס"ד],TeamList[שם הקבוצה])),"")</f>
        <v/>
      </c>
      <c r="AI4" s="23" t="str">
        <f ca="1">IFERROR(CONCATENATE(_xlfn.XLOOKUP(W4,TeamList[מס"ד],TeamList[מס'' הקבוצה])," ",_xlfn.XLOOKUP(W4,TeamList[מס"ד],TeamList[שם הקבוצה])),"")</f>
        <v/>
      </c>
      <c r="AJ4" s="23" t="str">
        <f ca="1">IFERROR(CONCATENATE(_xlfn.XLOOKUP(X4,TeamList[מס"ד],TeamList[מס'' הקבוצה])," ",_xlfn.XLOOKUP(X4,TeamList[מס"ד],TeamList[שם הקבוצה])),"")</f>
        <v/>
      </c>
      <c r="AK4" s="73" t="str">
        <f ca="1">IFERROR(CONCATENATE(_xlfn.XLOOKUP(Y4,TeamList[מס"ד],TeamList[מס'' הקבוצה])," ",_xlfn.XLOOKUP(Y4,TeamList[מס"ד],TeamList[שם הקבוצה])),"")</f>
        <v/>
      </c>
    </row>
    <row r="5" spans="1:37" s="4" customFormat="1" ht="14.4" customHeight="1" thickBot="1" x14ac:dyDescent="0.8">
      <c r="A5" s="35">
        <v>1</v>
      </c>
      <c r="B5" s="1">
        <f>B4+1</f>
        <v>14</v>
      </c>
      <c r="C5" s="34">
        <f t="shared" si="2"/>
        <v>0.44444444444444442</v>
      </c>
      <c r="D5" s="34">
        <f>HRGame1Table[[#This Row],[התחלה]]+TIME(0,3,0)</f>
        <v>0.44652777777777775</v>
      </c>
      <c r="E5" s="41" t="str">
        <f ca="1">IFERROR(INDEX(OFFSET('תכנית לפי קבוצות'!$C$62,$A5*4,0,4,4),MATCH(E$1,OFFSET('תכנית לפי קבוצות'!$F$62,$A5*4,0,4,1),0),1),"")</f>
        <v/>
      </c>
      <c r="F5" s="41" t="str">
        <f ca="1">IFERROR(INDEX(OFFSET('תכנית לפי קבוצות'!$C$62,$A5*4,0,4,4),MATCH(F$1,OFFSET('תכנית לפי קבוצות'!$F$62,$A5*4,0,4,1),0),1),"")</f>
        <v/>
      </c>
      <c r="G5" s="41" t="str">
        <f ca="1">IFERROR(INDEX(OFFSET('תכנית לפי קבוצות'!$C$62,$A5*4,0,4,4),MATCH(G$1,OFFSET('תכנית לפי קבוצות'!$F$62,$A5*4,0,4,1),0),1),"")</f>
        <v/>
      </c>
      <c r="H5" s="41" t="str">
        <f ca="1">IFERROR(INDEX(OFFSET('תכנית לפי קבוצות'!$C$62,$A5*4,0,4,4),MATCH(H$1,OFFSET('תכנית לפי קבוצות'!$F$62,$A5*4,0,4,1),0),1),"")</f>
        <v/>
      </c>
      <c r="I5" s="41">
        <f ca="1">IFERROR(INDEX(OFFSET('תכנית לפי קבוצות'!$C$62,$A5*4,0,4,4),MATCH(I$1,OFFSET('תכנית לפי קבוצות'!$F$62,$A5*4,0,4,1),0),1),"")</f>
        <v>28</v>
      </c>
      <c r="J5" s="41">
        <f ca="1">IFERROR(INDEX(OFFSET('תכנית לפי קבוצות'!$C$62,$A5*4,0,4,4),MATCH(J$1,OFFSET('תכנית לפי קבוצות'!$F$62,$A5*4,0,4,1),0),1),"")</f>
        <v>30</v>
      </c>
      <c r="K5" s="41">
        <f ca="1">IFERROR(INDEX(OFFSET('תכנית לפי קבוצות'!$C$62,$A5*4,0,4,4),MATCH(K$1,OFFSET('תכנית לפי קבוצות'!$F$62,$A5*4,0,4,1),0),1),"")</f>
        <v>24</v>
      </c>
      <c r="L5" s="41">
        <f ca="1">IFERROR(INDEX(OFFSET('תכנית לפי קבוצות'!$C$62,$A5*4,0,4,4),MATCH(L$1,OFFSET('תכנית לפי קבוצות'!$F$62,$A5*4,0,4,1),0),1),"")</f>
        <v>26</v>
      </c>
      <c r="M5" s="1"/>
      <c r="N5" s="36"/>
      <c r="O5" s="1">
        <v>2</v>
      </c>
      <c r="P5" s="34">
        <f t="shared" ref="P5:P15" si="3">P4+PM</f>
        <v>0.36874999999999997</v>
      </c>
      <c r="Q5" s="34">
        <f>HRPracticeTable[[#This Row],[התחלה]]+TIME(0,3,0)</f>
        <v>0.37083333333333329</v>
      </c>
      <c r="R5" s="1" t="str">
        <f ca="1">IFERROR(INDEX(OFFSET('תכנית לפי קבוצות'!$L$62,$A5*4,0,4,4),MATCH(R$1,OFFSET('תכנית לפי קבוצות'!$O$62,$A5*4,0,4,1),0),1),"")</f>
        <v/>
      </c>
      <c r="S5" s="1" t="str">
        <f ca="1">IFERROR(INDEX(OFFSET('תכנית לפי קבוצות'!$L$62,$A5*4,0,4,4),MATCH(S$1,OFFSET('תכנית לפי קבוצות'!$O$62,$A5*4,0,4,1),0),1),"")</f>
        <v/>
      </c>
      <c r="T5" s="1" t="str">
        <f ca="1">IFERROR(INDEX(OFFSET('תכנית לפי קבוצות'!$L$62,$A5*4,0,4,4),MATCH(T$1,OFFSET('תכנית לפי קבוצות'!$O$62,$A5*4,0,4,1),0),1),"")</f>
        <v/>
      </c>
      <c r="U5" s="1" t="str">
        <f ca="1">IFERROR(INDEX(OFFSET('תכנית לפי קבוצות'!$L$62,$A5*4,0,4,4),MATCH(U$1,OFFSET('תכנית לפי קבוצות'!$O$62,$A5*4,0,4,1),0),1),"")</f>
        <v/>
      </c>
      <c r="V5" s="1">
        <f ca="1">IFERROR(INDEX(OFFSET('תכנית לפי קבוצות'!$L$62,$A5*4,0,4,4),MATCH(V$1,OFFSET('תכנית לפי קבוצות'!$O$62,$A5*4,0,4,1),0),1),"")</f>
        <v>9</v>
      </c>
      <c r="W5" s="1">
        <f ca="1">IFERROR(INDEX(OFFSET('תכנית לפי קבוצות'!$L$62,$A5*4,0,4,4),MATCH(W$1,OFFSET('תכנית לפי קבוצות'!$O$62,$A5*4,0,4,1),0),1),"")</f>
        <v>13</v>
      </c>
      <c r="X5" s="1">
        <f ca="1">IFERROR(INDEX(OFFSET('תכנית לפי קבוצות'!$L$62,$A5*4,0,4,4),MATCH(X$1,OFFSET('תכנית לפי קבוצות'!$O$62,$A5*4,0,4,1),0),1),"")</f>
        <v>18</v>
      </c>
      <c r="Y5" s="1">
        <f ca="1">IFERROR(INDEX(OFFSET('תכנית לפי קבוצות'!$L$62,$A5*4,0,4,4),MATCH(Y$1,OFFSET('תכנית לפי קבוצות'!$O$62,$A5*4,0,4,1),0),1),"")</f>
        <v>22</v>
      </c>
      <c r="AA5" s="232"/>
      <c r="AB5" s="234"/>
      <c r="AC5" s="234"/>
      <c r="AD5" s="84" t="str">
        <f ca="1">IFERROR(_xlfn.XLOOKUP(R4,TeamList[מס"ד],TeamList[ישוב]),"")</f>
        <v>נצרת</v>
      </c>
      <c r="AE5" s="84" t="str">
        <f ca="1">IFERROR(_xlfn.XLOOKUP(S4,TeamList[מס"ד],TeamList[ישוב]),"")</f>
        <v>נס ציונה</v>
      </c>
      <c r="AF5" s="84" t="str">
        <f ca="1">IFERROR(_xlfn.XLOOKUP(T4,TeamList[מס"ד],TeamList[ישוב]),"")</f>
        <v>אלון הגליל</v>
      </c>
      <c r="AG5" s="84" t="str">
        <f ca="1">IFERROR(_xlfn.XLOOKUP(U4,TeamList[מס"ד],TeamList[ישוב]),"")</f>
        <v>ירושלים</v>
      </c>
      <c r="AH5" s="84" t="str">
        <f ca="1">IFERROR(_xlfn.XLOOKUP(V4,TeamList[מס"ד],TeamList[ישוב]),"")</f>
        <v/>
      </c>
      <c r="AI5" s="84" t="str">
        <f ca="1">IFERROR(_xlfn.XLOOKUP(W4,TeamList[מס"ד],TeamList[ישוב]),"")</f>
        <v/>
      </c>
      <c r="AJ5" s="84" t="str">
        <f ca="1">IFERROR(_xlfn.XLOOKUP(X4,TeamList[מס"ד],TeamList[ישוב]),"")</f>
        <v/>
      </c>
      <c r="AK5" s="85" t="str">
        <f ca="1">IFERROR(_xlfn.XLOOKUP(Y4,TeamList[מס"ד],TeamList[ישוב]),"")</f>
        <v/>
      </c>
    </row>
    <row r="6" spans="1:37" s="4" customFormat="1" ht="14.4" customHeight="1" x14ac:dyDescent="0.65">
      <c r="A6" s="35">
        <v>2</v>
      </c>
      <c r="B6" s="1">
        <f t="shared" ref="B6:B15" si="4">B5+1</f>
        <v>15</v>
      </c>
      <c r="C6" s="34">
        <f t="shared" si="2"/>
        <v>0.44791666666666663</v>
      </c>
      <c r="D6" s="34">
        <f>HRGame1Table[[#This Row],[התחלה]]+TIME(0,3,0)</f>
        <v>0.44999999999999996</v>
      </c>
      <c r="E6" s="41">
        <f ca="1">IFERROR(INDEX(OFFSET('תכנית לפי קבוצות'!$C$62,$A6*4,0,4,4),MATCH(E$1,OFFSET('תכנית לפי קבוצות'!$F$62,$A6*4,0,4,1),0),1),"")</f>
        <v>5</v>
      </c>
      <c r="F6" s="41">
        <f ca="1">IFERROR(INDEX(OFFSET('תכנית לפי קבוצות'!$C$62,$A6*4,0,4,4),MATCH(F$1,OFFSET('תכנית לפי קבוצות'!$F$62,$A6*4,0,4,1),0),1),"")</f>
        <v>31</v>
      </c>
      <c r="G6" s="41">
        <f ca="1">IFERROR(INDEX(OFFSET('תכנית לפי קבוצות'!$C$62,$A6*4,0,4,4),MATCH(G$1,OFFSET('תכנית לפי קבוצות'!$F$62,$A6*4,0,4,1),0),1),"")</f>
        <v>1</v>
      </c>
      <c r="H6" s="41">
        <f ca="1">IFERROR(INDEX(OFFSET('תכנית לפי קבוצות'!$C$62,$A6*4,0,4,4),MATCH(H$1,OFFSET('תכנית לפי קבוצות'!$F$62,$A6*4,0,4,1),0),1),"")</f>
        <v>3</v>
      </c>
      <c r="I6" s="41" t="str">
        <f ca="1">IFERROR(INDEX(OFFSET('תכנית לפי קבוצות'!$C$62,$A6*4,0,4,4),MATCH(I$1,OFFSET('תכנית לפי קבוצות'!$F$62,$A6*4,0,4,1),0),1),"")</f>
        <v/>
      </c>
      <c r="J6" s="41" t="str">
        <f ca="1">IFERROR(INDEX(OFFSET('תכנית לפי קבוצות'!$C$62,$A6*4,0,4,4),MATCH(J$1,OFFSET('תכנית לפי קבוצות'!$F$62,$A6*4,0,4,1),0),1),"")</f>
        <v/>
      </c>
      <c r="K6" s="41" t="str">
        <f ca="1">IFERROR(INDEX(OFFSET('תכנית לפי קבוצות'!$C$62,$A6*4,0,4,4),MATCH(K$1,OFFSET('תכנית לפי קבוצות'!$F$62,$A6*4,0,4,1),0),1),"")</f>
        <v/>
      </c>
      <c r="L6" s="41" t="str">
        <f ca="1">IFERROR(INDEX(OFFSET('תכנית לפי קבוצות'!$C$62,$A6*4,0,4,4),MATCH(L$1,OFFSET('תכנית לפי קבוצות'!$F$62,$A6*4,0,4,1),0),1),"")</f>
        <v/>
      </c>
      <c r="M6" s="1"/>
      <c r="N6" s="1"/>
      <c r="O6" s="1">
        <v>3</v>
      </c>
      <c r="P6" s="34">
        <f t="shared" si="3"/>
        <v>0.37291666666666662</v>
      </c>
      <c r="Q6" s="34">
        <f>HRPracticeTable[[#This Row],[התחלה]]+TIME(0,3,0)</f>
        <v>0.37499999999999994</v>
      </c>
      <c r="R6" s="1">
        <f ca="1">IFERROR(INDEX(OFFSET('תכנית לפי קבוצות'!$L$62,$A6*4,0,4,4),MATCH(R$1,OFFSET('תכנית לפי קבוצות'!$O$62,$A6*4,0,4,1),0),1),"")</f>
        <v>10</v>
      </c>
      <c r="S6" s="1">
        <f ca="1">IFERROR(INDEX(OFFSET('תכנית לפי קבוצות'!$L$62,$A6*4,0,4,4),MATCH(S$1,OFFSET('תכנית לפי קבוצות'!$O$62,$A6*4,0,4,1),0),1),"")</f>
        <v>14</v>
      </c>
      <c r="T6" s="1">
        <f ca="1">IFERROR(INDEX(OFFSET('תכנית לפי קבוצות'!$L$62,$A6*4,0,4,4),MATCH(T$1,OFFSET('תכנית לפי קבוצות'!$O$62,$A6*4,0,4,1),0),1),"")</f>
        <v>19</v>
      </c>
      <c r="U6" s="1">
        <f ca="1">IFERROR(INDEX(OFFSET('תכנית לפי קבוצות'!$L$62,$A6*4,0,4,4),MATCH(U$1,OFFSET('תכנית לפי קבוצות'!$O$62,$A6*4,0,4,1),0),1),"")</f>
        <v>23</v>
      </c>
      <c r="V6" s="1" t="str">
        <f ca="1">IFERROR(INDEX(OFFSET('תכנית לפי קבוצות'!$L$62,$A6*4,0,4,4),MATCH(V$1,OFFSET('תכנית לפי קבוצות'!$O$62,$A6*4,0,4,1),0),1),"")</f>
        <v/>
      </c>
      <c r="W6" s="1" t="str">
        <f ca="1">IFERROR(INDEX(OFFSET('תכנית לפי קבוצות'!$L$62,$A6*4,0,4,4),MATCH(W$1,OFFSET('תכנית לפי קבוצות'!$O$62,$A6*4,0,4,1),0),1),"")</f>
        <v/>
      </c>
      <c r="X6" s="1" t="str">
        <f ca="1">IFERROR(INDEX(OFFSET('תכנית לפי קבוצות'!$L$62,$A6*4,0,4,4),MATCH(X$1,OFFSET('תכנית לפי קבוצות'!$O$62,$A6*4,0,4,1),0),1),"")</f>
        <v/>
      </c>
      <c r="Y6" s="1" t="str">
        <f ca="1">IFERROR(INDEX(OFFSET('תכנית לפי קבוצות'!$L$62,$A6*4,0,4,4),MATCH(Y$1,OFFSET('תכנית לפי קבוצות'!$O$62,$A6*4,0,4,1),0),1),"")</f>
        <v/>
      </c>
      <c r="AA6" s="235">
        <v>2</v>
      </c>
      <c r="AB6" s="237">
        <f>AB4+PM</f>
        <v>0.36874999999999997</v>
      </c>
      <c r="AC6" s="237">
        <f>AB6+TIME(0,3,0)</f>
        <v>0.37083333333333329</v>
      </c>
      <c r="AD6" s="24" t="str">
        <f ca="1">IFERROR(CONCATENATE(_xlfn.XLOOKUP(R5,TeamList[מס"ד],TeamList[מס'' הקבוצה])," ",_xlfn.XLOOKUP(R5,TeamList[מס"ד],TeamList[שם הקבוצה])),"")</f>
        <v/>
      </c>
      <c r="AE6" s="24" t="str">
        <f ca="1">IFERROR(CONCATENATE(_xlfn.XLOOKUP(S5,TeamList[מס"ד],TeamList[מס'' הקבוצה])," ",_xlfn.XLOOKUP(S5,TeamList[מס"ד],TeamList[שם הקבוצה])),"")</f>
        <v/>
      </c>
      <c r="AF6" s="24" t="str">
        <f ca="1">IFERROR(CONCATENATE(_xlfn.XLOOKUP(T5,TeamList[מס"ד],TeamList[מס'' הקבוצה])," ",_xlfn.XLOOKUP(T5,TeamList[מס"ד],TeamList[שם הקבוצה])),"")</f>
        <v/>
      </c>
      <c r="AG6" s="24" t="str">
        <f ca="1">IFERROR(CONCATENATE(_xlfn.XLOOKUP(U5,TeamList[מס"ד],TeamList[מס'' הקבוצה])," ",_xlfn.XLOOKUP(U5,TeamList[מס"ד],TeamList[שם הקבוצה])),"")</f>
        <v/>
      </c>
      <c r="AH6" s="24" t="str">
        <f ca="1">IFERROR(CONCATENATE(_xlfn.XLOOKUP(V5,TeamList[מס"ד],TeamList[מס'' הקבוצה])," ",_xlfn.XLOOKUP(V5,TeamList[מס"ד],TeamList[שם הקבוצה])),"")</f>
        <v xml:space="preserve">588 אבן סינא </v>
      </c>
      <c r="AI6" s="24" t="str">
        <f ca="1">IFERROR(CONCATENATE(_xlfn.XLOOKUP(W5,TeamList[מס"ד],TeamList[מס'' הקבוצה])," ",_xlfn.XLOOKUP(W5,TeamList[מס"ד],TeamList[שם הקבוצה])),"")</f>
        <v>3185 תיכון דרך</v>
      </c>
      <c r="AJ6" s="24" t="str">
        <f ca="1">IFERROR(CONCATENATE(_xlfn.XLOOKUP(X5,TeamList[מס"ד],TeamList[מס'' הקבוצה])," ",_xlfn.XLOOKUP(X5,TeamList[מס"ד],TeamList[שם הקבוצה])),"")</f>
        <v>1043 עתיד כרמים</v>
      </c>
      <c r="AK6" s="72" t="str">
        <f ca="1">IFERROR(CONCATENATE(_xlfn.XLOOKUP(Y5,TeamList[מס"ד],TeamList[מס'' הקבוצה])," ",_xlfn.XLOOKUP(Y5,TeamList[מס"ד],TeamList[שם הקבוצה])),"")</f>
        <v xml:space="preserve">3022 אברט </v>
      </c>
    </row>
    <row r="7" spans="1:37" s="4" customFormat="1" ht="14.4" customHeight="1" thickBot="1" x14ac:dyDescent="0.8">
      <c r="A7" s="35">
        <v>3</v>
      </c>
      <c r="B7" s="1">
        <f t="shared" si="4"/>
        <v>16</v>
      </c>
      <c r="C7" s="34">
        <f t="shared" si="2"/>
        <v>0.4513888888888889</v>
      </c>
      <c r="D7" s="34">
        <f>HRGame1Table[[#This Row],[התחלה]]+TIME(0,3,0)</f>
        <v>0.45347222222222222</v>
      </c>
      <c r="E7" s="41" t="str">
        <f ca="1">IFERROR(INDEX(OFFSET('תכנית לפי קבוצות'!$C$62,$A7*4,0,4,4),MATCH(E$1,OFFSET('תכנית לפי קבוצות'!$F$62,$A7*4,0,4,1),0),1),"")</f>
        <v/>
      </c>
      <c r="F7" s="41" t="str">
        <f ca="1">IFERROR(INDEX(OFFSET('תכנית לפי קבוצות'!$C$62,$A7*4,0,4,4),MATCH(F$1,OFFSET('תכנית לפי קבוצות'!$F$62,$A7*4,0,4,1),0),1),"")</f>
        <v/>
      </c>
      <c r="G7" s="41" t="str">
        <f ca="1">IFERROR(INDEX(OFFSET('תכנית לפי קבוצות'!$C$62,$A7*4,0,4,4),MATCH(G$1,OFFSET('תכנית לפי קבוצות'!$F$62,$A7*4,0,4,1),0),1),"")</f>
        <v/>
      </c>
      <c r="H7" s="41" t="str">
        <f ca="1">IFERROR(INDEX(OFFSET('תכנית לפי קבוצות'!$C$62,$A7*4,0,4,4),MATCH(H$1,OFFSET('תכנית לפי קבוצות'!$F$62,$A7*4,0,4,1),0),1),"")</f>
        <v/>
      </c>
      <c r="I7" s="41">
        <f ca="1">IFERROR(INDEX(OFFSET('תכנית לפי קבוצות'!$C$62,$A7*4,0,4,4),MATCH(I$1,OFFSET('תכנית לפי קבוצות'!$F$62,$A7*4,0,4,1),0),1),"")</f>
        <v>22</v>
      </c>
      <c r="J7" s="41">
        <f ca="1">IFERROR(INDEX(OFFSET('תכנית לפי קבוצות'!$C$62,$A7*4,0,4,4),MATCH(J$1,OFFSET('תכנית לפי קבוצות'!$F$62,$A7*4,0,4,1),0),1),"")</f>
        <v>32</v>
      </c>
      <c r="K7" s="41">
        <f ca="1">IFERROR(INDEX(OFFSET('תכנית לפי קבוצות'!$C$62,$A7*4,0,4,4),MATCH(K$1,OFFSET('תכנית לפי קבוצות'!$F$62,$A7*4,0,4,1),0),1),"")</f>
        <v>2</v>
      </c>
      <c r="L7" s="41">
        <f ca="1">IFERROR(INDEX(OFFSET('תכנית לפי קבוצות'!$C$62,$A7*4,0,4,4),MATCH(L$1,OFFSET('תכנית לפי קבוצות'!$F$62,$A7*4,0,4,1),0),1),"")</f>
        <v>4</v>
      </c>
      <c r="M7" s="1"/>
      <c r="N7" s="1"/>
      <c r="O7" s="1">
        <v>4</v>
      </c>
      <c r="P7" s="34">
        <f t="shared" si="3"/>
        <v>0.37708333333333327</v>
      </c>
      <c r="Q7" s="34">
        <f>HRPracticeTable[[#This Row],[התחלה]]+TIME(0,3,0)</f>
        <v>0.3791666666666666</v>
      </c>
      <c r="R7" s="1" t="str">
        <f ca="1">IFERROR(INDEX(OFFSET('תכנית לפי קבוצות'!$L$62,$A7*4,0,4,4),MATCH(R$1,OFFSET('תכנית לפי קבוצות'!$O$62,$A7*4,0,4,1),0),1),"")</f>
        <v/>
      </c>
      <c r="S7" s="1" t="str">
        <f ca="1">IFERROR(INDEX(OFFSET('תכנית לפי קבוצות'!$L$62,$A7*4,0,4,4),MATCH(S$1,OFFSET('תכנית לפי קבוצות'!$O$62,$A7*4,0,4,1),0),1),"")</f>
        <v/>
      </c>
      <c r="T7" s="1" t="str">
        <f ca="1">IFERROR(INDEX(OFFSET('תכנית לפי קבוצות'!$L$62,$A7*4,0,4,4),MATCH(T$1,OFFSET('תכנית לפי קבוצות'!$O$62,$A7*4,0,4,1),0),1),"")</f>
        <v/>
      </c>
      <c r="U7" s="1" t="str">
        <f ca="1">IFERROR(INDEX(OFFSET('תכנית לפי קבוצות'!$L$62,$A7*4,0,4,4),MATCH(U$1,OFFSET('תכנית לפי קבוצות'!$O$62,$A7*4,0,4,1),0),1),"")</f>
        <v/>
      </c>
      <c r="V7" s="1">
        <f ca="1">IFERROR(INDEX(OFFSET('תכנית לפי קבוצות'!$L$62,$A7*4,0,4,4),MATCH(V$1,OFFSET('תכנית לפי קבוצות'!$O$62,$A7*4,0,4,1),0),1),"")</f>
        <v>11</v>
      </c>
      <c r="W7" s="1">
        <f ca="1">IFERROR(INDEX(OFFSET('תכנית לפי קבוצות'!$L$62,$A7*4,0,4,4),MATCH(W$1,OFFSET('תכנית לפי קבוצות'!$O$62,$A7*4,0,4,1),0),1),"")</f>
        <v>15</v>
      </c>
      <c r="X7" s="1">
        <f ca="1">IFERROR(INDEX(OFFSET('תכנית לפי קבוצות'!$L$62,$A7*4,0,4,4),MATCH(X$1,OFFSET('תכנית לפי קבוצות'!$O$62,$A7*4,0,4,1),0),1),"")</f>
        <v>20</v>
      </c>
      <c r="Y7" s="1">
        <f ca="1">IFERROR(INDEX(OFFSET('תכנית לפי קבוצות'!$L$62,$A7*4,0,4,4),MATCH(Y$1,OFFSET('תכנית לפי קבוצות'!$O$62,$A7*4,0,4,1),0),1),"")</f>
        <v>24</v>
      </c>
      <c r="AA7" s="236"/>
      <c r="AB7" s="238"/>
      <c r="AC7" s="238"/>
      <c r="AD7" s="86" t="str">
        <f ca="1">IFERROR(_xlfn.XLOOKUP(R5,TeamList[מס"ד],TeamList[ישוב]),"")</f>
        <v/>
      </c>
      <c r="AE7" s="86" t="str">
        <f ca="1">IFERROR(_xlfn.XLOOKUP(S5,TeamList[מס"ד],TeamList[ישוב]),"")</f>
        <v/>
      </c>
      <c r="AF7" s="86" t="str">
        <f ca="1">IFERROR(_xlfn.XLOOKUP(T5,TeamList[מס"ד],TeamList[ישוב]),"")</f>
        <v/>
      </c>
      <c r="AG7" s="86" t="str">
        <f ca="1">IFERROR(_xlfn.XLOOKUP(U5,TeamList[מס"ד],TeamList[ישוב]),"")</f>
        <v/>
      </c>
      <c r="AH7" s="86" t="str">
        <f ca="1">IFERROR(_xlfn.XLOOKUP(V5,TeamList[מס"ד],TeamList[ישוב]),"")</f>
        <v>כפר קרע</v>
      </c>
      <c r="AI7" s="86" t="str">
        <f ca="1">IFERROR(_xlfn.XLOOKUP(W5,TeamList[מס"ד],TeamList[ישוב]),"")</f>
        <v>ירושלים</v>
      </c>
      <c r="AJ7" s="86" t="str">
        <f ca="1">IFERROR(_xlfn.XLOOKUP(X5,TeamList[מס"ד],TeamList[ישוב]),"")</f>
        <v>בנימינה-גבעת עדה</v>
      </c>
      <c r="AK7" s="87" t="str">
        <f ca="1">IFERROR(_xlfn.XLOOKUP(Y5,TeamList[מס"ד],TeamList[ישוב]),"")</f>
        <v>חצור הגלילית</v>
      </c>
    </row>
    <row r="8" spans="1:37" s="4" customFormat="1" ht="14.4" customHeight="1" x14ac:dyDescent="0.65">
      <c r="A8" s="35">
        <v>4</v>
      </c>
      <c r="B8" s="1">
        <f t="shared" si="4"/>
        <v>17</v>
      </c>
      <c r="C8" s="34">
        <f t="shared" si="2"/>
        <v>0.4548611111111111</v>
      </c>
      <c r="D8" s="34">
        <f>HRGame1Table[[#This Row],[התחלה]]+TIME(0,3,0)</f>
        <v>0.45694444444444443</v>
      </c>
      <c r="E8" s="41">
        <f ca="1">IFERROR(INDEX(OFFSET('תכנית לפי קבוצות'!$C$62,$A8*4,0,4,4),MATCH(E$1,OFFSET('תכנית לפי קבוצות'!$F$62,$A8*4,0,4,1),0),1),"")</f>
        <v>10</v>
      </c>
      <c r="F8" s="41">
        <f ca="1">IFERROR(INDEX(OFFSET('תכנית לפי קבוצות'!$C$62,$A8*4,0,4,4),MATCH(F$1,OFFSET('תכנית לפי קבוצות'!$F$62,$A8*4,0,4,1),0),1),"")</f>
        <v>12</v>
      </c>
      <c r="G8" s="41">
        <f ca="1">IFERROR(INDEX(OFFSET('תכנית לפי קבוצות'!$C$62,$A8*4,0,4,4),MATCH(G$1,OFFSET('תכנית לפי קבוצות'!$F$62,$A8*4,0,4,1),0),1),"")</f>
        <v>6</v>
      </c>
      <c r="H8" s="41">
        <f ca="1">IFERROR(INDEX(OFFSET('תכנית לפי קבוצות'!$C$62,$A8*4,0,4,4),MATCH(H$1,OFFSET('תכנית לפי קבוצות'!$F$62,$A8*4,0,4,1),0),1),"")</f>
        <v>8</v>
      </c>
      <c r="I8" s="41" t="str">
        <f ca="1">IFERROR(INDEX(OFFSET('תכנית לפי קבוצות'!$C$62,$A8*4,0,4,4),MATCH(I$1,OFFSET('תכנית לפי קבוצות'!$F$62,$A8*4,0,4,1),0),1),"")</f>
        <v/>
      </c>
      <c r="J8" s="41" t="str">
        <f ca="1">IFERROR(INDEX(OFFSET('תכנית לפי קבוצות'!$C$62,$A8*4,0,4,4),MATCH(J$1,OFFSET('תכנית לפי קבוצות'!$F$62,$A8*4,0,4,1),0),1),"")</f>
        <v/>
      </c>
      <c r="K8" s="41" t="str">
        <f ca="1">IFERROR(INDEX(OFFSET('תכנית לפי קבוצות'!$C$62,$A8*4,0,4,4),MATCH(K$1,OFFSET('תכנית לפי קבוצות'!$F$62,$A8*4,0,4,1),0),1),"")</f>
        <v/>
      </c>
      <c r="L8" s="41" t="str">
        <f ca="1">IFERROR(INDEX(OFFSET('תכנית לפי קבוצות'!$C$62,$A8*4,0,4,4),MATCH(L$1,OFFSET('תכנית לפי קבוצות'!$F$62,$A8*4,0,4,1),0),1),"")</f>
        <v/>
      </c>
      <c r="M8" s="1"/>
      <c r="N8" s="1"/>
      <c r="O8" s="1">
        <v>5</v>
      </c>
      <c r="P8" s="34">
        <f t="shared" si="3"/>
        <v>0.38124999999999992</v>
      </c>
      <c r="Q8" s="34">
        <f>HRPracticeTable[[#This Row],[התחלה]]+TIME(0,3,0)</f>
        <v>0.38333333333333325</v>
      </c>
      <c r="R8" s="1">
        <f ca="1">IFERROR(INDEX(OFFSET('תכנית לפי קבוצות'!$L$62,$A8*4,0,4,4),MATCH(R$1,OFFSET('תכנית לפי קבוצות'!$O$62,$A8*4,0,4,1),0),1),"")</f>
        <v>25</v>
      </c>
      <c r="S8" s="1">
        <f ca="1">IFERROR(INDEX(OFFSET('תכנית לפי קבוצות'!$L$62,$A8*4,0,4,4),MATCH(S$1,OFFSET('תכנית לפי קבוצות'!$O$62,$A8*4,0,4,1),0),1),"")</f>
        <v>29</v>
      </c>
      <c r="T8" s="1">
        <f ca="1">IFERROR(INDEX(OFFSET('תכנית לפי קבוצות'!$L$62,$A8*4,0,4,4),MATCH(T$1,OFFSET('תכנית לפי קבוצות'!$O$62,$A8*4,0,4,1),0),1),"")</f>
        <v>33</v>
      </c>
      <c r="U8" s="1">
        <f ca="1">IFERROR(INDEX(OFFSET('תכנית לפי קבוצות'!$L$62,$A8*4,0,4,4),MATCH(U$1,OFFSET('תכנית לפי קבוצות'!$O$62,$A8*4,0,4,1),0),1),"")</f>
        <v>37</v>
      </c>
      <c r="V8" s="1" t="str">
        <f ca="1">IFERROR(INDEX(OFFSET('תכנית לפי קבוצות'!$L$62,$A8*4,0,4,4),MATCH(V$1,OFFSET('תכנית לפי קבוצות'!$O$62,$A8*4,0,4,1),0),1),"")</f>
        <v/>
      </c>
      <c r="W8" s="1" t="str">
        <f ca="1">IFERROR(INDEX(OFFSET('תכנית לפי קבוצות'!$L$62,$A8*4,0,4,4),MATCH(W$1,OFFSET('תכנית לפי קבוצות'!$O$62,$A8*4,0,4,1),0),1),"")</f>
        <v/>
      </c>
      <c r="X8" s="1" t="str">
        <f ca="1">IFERROR(INDEX(OFFSET('תכנית לפי קבוצות'!$L$62,$A8*4,0,4,4),MATCH(X$1,OFFSET('תכנית לפי קבוצות'!$O$62,$A8*4,0,4,1),0),1),"")</f>
        <v/>
      </c>
      <c r="Y8" s="1" t="str">
        <f ca="1">IFERROR(INDEX(OFFSET('תכנית לפי קבוצות'!$L$62,$A8*4,0,4,4),MATCH(Y$1,OFFSET('תכנית לפי קבוצות'!$O$62,$A8*4,0,4,1),0),1),"")</f>
        <v/>
      </c>
      <c r="AA8" s="231">
        <v>3</v>
      </c>
      <c r="AB8" s="233">
        <f>AB6+PM</f>
        <v>0.37291666666666662</v>
      </c>
      <c r="AC8" s="233">
        <f>AB8+TIME(0,3,0)</f>
        <v>0.37499999999999994</v>
      </c>
      <c r="AD8" s="23" t="str">
        <f ca="1">IFERROR(CONCATENATE(_xlfn.XLOOKUP(R6,TeamList[מס"ד],TeamList[מס'' הקבוצה])," ",_xlfn.XLOOKUP(R6,TeamList[מס"ד],TeamList[שם הקבוצה])),"")</f>
        <v>1371 אלזהראוי</v>
      </c>
      <c r="AE8" s="219" t="str">
        <f ca="1">IFERROR(CONCATENATE(_xlfn.XLOOKUP(S6,TeamList[מס"ד],TeamList[מס'' הקבוצה])," ",_xlfn.XLOOKUP(S6,TeamList[מס"ד],TeamList[שם הקבוצה])),"")</f>
        <v>3179 נצח ישראל</v>
      </c>
      <c r="AF8" s="23" t="str">
        <f ca="1">IFERROR(CONCATENATE(_xlfn.XLOOKUP(T6,TeamList[מס"ד],TeamList[מס'' הקבוצה])," ",_xlfn.XLOOKUP(T6,TeamList[מס"ד],TeamList[שם הקבוצה])),"")</f>
        <v xml:space="preserve">341 עירוני ד </v>
      </c>
      <c r="AG8" s="23" t="str">
        <f ca="1">IFERROR(CONCATENATE(_xlfn.XLOOKUP(U6,TeamList[מס"ד],TeamList[מס'' הקבוצה])," ",_xlfn.XLOOKUP(U6,TeamList[מס"ד],TeamList[שם הקבוצה])),"")</f>
        <v>1152 אל זהראא ב</v>
      </c>
      <c r="AH8" s="23" t="str">
        <f ca="1">IFERROR(CONCATENATE(_xlfn.XLOOKUP(V6,TeamList[מס"ד],TeamList[מס'' הקבוצה])," ",_xlfn.XLOOKUP(V6,TeamList[מס"ד],TeamList[שם הקבוצה])),"")</f>
        <v/>
      </c>
      <c r="AI8" s="23" t="str">
        <f ca="1">IFERROR(CONCATENATE(_xlfn.XLOOKUP(W6,TeamList[מס"ד],TeamList[מס'' הקבוצה])," ",_xlfn.XLOOKUP(W6,TeamList[מס"ד],TeamList[שם הקבוצה])),"")</f>
        <v/>
      </c>
      <c r="AJ8" s="23" t="str">
        <f ca="1">IFERROR(CONCATENATE(_xlfn.XLOOKUP(X6,TeamList[מס"ד],TeamList[מס'' הקבוצה])," ",_xlfn.XLOOKUP(X6,TeamList[מס"ד],TeamList[שם הקבוצה])),"")</f>
        <v/>
      </c>
      <c r="AK8" s="73" t="str">
        <f ca="1">IFERROR(CONCATENATE(_xlfn.XLOOKUP(Y6,TeamList[מס"ד],TeamList[מס'' הקבוצה])," ",_xlfn.XLOOKUP(Y6,TeamList[מס"ד],TeamList[שם הקבוצה])),"")</f>
        <v/>
      </c>
    </row>
    <row r="9" spans="1:37" s="4" customFormat="1" ht="14.4" customHeight="1" thickBot="1" x14ac:dyDescent="0.8">
      <c r="A9" s="35">
        <v>5</v>
      </c>
      <c r="B9" s="1">
        <f t="shared" si="4"/>
        <v>18</v>
      </c>
      <c r="C9" s="34">
        <f t="shared" si="2"/>
        <v>0.45833333333333331</v>
      </c>
      <c r="D9" s="34">
        <f>HRGame1Table[[#This Row],[התחלה]]+TIME(0,3,0)</f>
        <v>0.46041666666666664</v>
      </c>
      <c r="E9" s="41" t="str">
        <f ca="1">IFERROR(INDEX(OFFSET('תכנית לפי קבוצות'!$C$62,$A9*4,0,4,4),MATCH(E$1,OFFSET('תכנית לפי קבוצות'!$F$62,$A9*4,0,4,1),0),1),"")</f>
        <v/>
      </c>
      <c r="F9" s="41" t="str">
        <f ca="1">IFERROR(INDEX(OFFSET('תכנית לפי קבוצות'!$C$62,$A9*4,0,4,4),MATCH(F$1,OFFSET('תכנית לפי קבוצות'!$F$62,$A9*4,0,4,1),0),1),"")</f>
        <v/>
      </c>
      <c r="G9" s="41" t="str">
        <f ca="1">IFERROR(INDEX(OFFSET('תכנית לפי קבוצות'!$C$62,$A9*4,0,4,4),MATCH(G$1,OFFSET('תכנית לפי קבוצות'!$F$62,$A9*4,0,4,1),0),1),"")</f>
        <v/>
      </c>
      <c r="H9" s="41" t="str">
        <f ca="1">IFERROR(INDEX(OFFSET('תכנית לפי קבוצות'!$C$62,$A9*4,0,4,4),MATCH(H$1,OFFSET('תכנית לפי קבוצות'!$F$62,$A9*4,0,4,1),0),1),"")</f>
        <v/>
      </c>
      <c r="I9" s="41">
        <f ca="1">IFERROR(INDEX(OFFSET('תכנית לפי קבוצות'!$C$62,$A9*4,0,4,4),MATCH(I$1,OFFSET('תכנית לפי קבוצות'!$F$62,$A9*4,0,4,1),0),1),"")</f>
        <v>11</v>
      </c>
      <c r="J9" s="41">
        <f ca="1">IFERROR(INDEX(OFFSET('תכנית לפי קבוצות'!$C$62,$A9*4,0,4,4),MATCH(J$1,OFFSET('תכנית לפי קבוצות'!$F$62,$A9*4,0,4,1),0),1),"")</f>
        <v>13</v>
      </c>
      <c r="K9" s="41">
        <f ca="1">IFERROR(INDEX(OFFSET('תכנית לפי קבוצות'!$C$62,$A9*4,0,4,4),MATCH(K$1,OFFSET('תכנית לפי קבוצות'!$F$62,$A9*4,0,4,1),0),1),"")</f>
        <v>7</v>
      </c>
      <c r="L9" s="41">
        <f ca="1">IFERROR(INDEX(OFFSET('תכנית לפי קבוצות'!$C$62,$A9*4,0,4,4),MATCH(L$1,OFFSET('תכנית לפי קבוצות'!$F$62,$A9*4,0,4,1),0),1),"")</f>
        <v>9</v>
      </c>
      <c r="M9" s="1"/>
      <c r="N9" s="1"/>
      <c r="O9" s="1">
        <v>6</v>
      </c>
      <c r="P9" s="34">
        <f t="shared" si="3"/>
        <v>0.38541666666666657</v>
      </c>
      <c r="Q9" s="34">
        <f>HRPracticeTable[[#This Row],[התחלה]]+TIME(0,3,0)</f>
        <v>0.3874999999999999</v>
      </c>
      <c r="R9" s="1" t="str">
        <f ca="1">IFERROR(INDEX(OFFSET('תכנית לפי קבוצות'!$L$62,$A9*4,0,4,4),MATCH(R$1,OFFSET('תכנית לפי קבוצות'!$O$62,$A9*4,0,4,1),0),1),"")</f>
        <v/>
      </c>
      <c r="S9" s="1" t="str">
        <f ca="1">IFERROR(INDEX(OFFSET('תכנית לפי קבוצות'!$L$62,$A9*4,0,4,4),MATCH(S$1,OFFSET('תכנית לפי קבוצות'!$O$62,$A9*4,0,4,1),0),1),"")</f>
        <v/>
      </c>
      <c r="T9" s="1" t="str">
        <f ca="1">IFERROR(INDEX(OFFSET('תכנית לפי קבוצות'!$L$62,$A9*4,0,4,4),MATCH(T$1,OFFSET('תכנית לפי קבוצות'!$O$62,$A9*4,0,4,1),0),1),"")</f>
        <v/>
      </c>
      <c r="U9" s="1" t="str">
        <f ca="1">IFERROR(INDEX(OFFSET('תכנית לפי קבוצות'!$L$62,$A9*4,0,4,4),MATCH(U$1,OFFSET('תכנית לפי קבוצות'!$O$62,$A9*4,0,4,1),0),1),"")</f>
        <v/>
      </c>
      <c r="V9" s="1">
        <f ca="1">IFERROR(INDEX(OFFSET('תכנית לפי קבוצות'!$L$62,$A9*4,0,4,4),MATCH(V$1,OFFSET('תכנית לפי קבוצות'!$O$62,$A9*4,0,4,1),0),1),"")</f>
        <v>26</v>
      </c>
      <c r="W9" s="1">
        <f ca="1">IFERROR(INDEX(OFFSET('תכנית לפי קבוצות'!$L$62,$A9*4,0,4,4),MATCH(W$1,OFFSET('תכנית לפי קבוצות'!$O$62,$A9*4,0,4,1),0),1),"")</f>
        <v>30</v>
      </c>
      <c r="X9" s="1">
        <f ca="1">IFERROR(INDEX(OFFSET('תכנית לפי קבוצות'!$L$62,$A9*4,0,4,4),MATCH(X$1,OFFSET('תכנית לפי קבוצות'!$O$62,$A9*4,0,4,1),0),1),"")</f>
        <v>34</v>
      </c>
      <c r="Y9" s="1">
        <f ca="1">IFERROR(INDEX(OFFSET('תכנית לפי קבוצות'!$L$62,$A9*4,0,4,4),MATCH(Y$1,OFFSET('תכנית לפי קבוצות'!$O$62,$A9*4,0,4,1),0),1),"")</f>
        <v>38</v>
      </c>
      <c r="AA9" s="232"/>
      <c r="AB9" s="234"/>
      <c r="AC9" s="234"/>
      <c r="AD9" s="84" t="str">
        <f ca="1">IFERROR(_xlfn.XLOOKUP(R6,TeamList[מס"ד],TeamList[ישוב]),"")</f>
        <v>אכסאל</v>
      </c>
      <c r="AE9" s="84" t="str">
        <f ca="1">IFERROR(_xlfn.XLOOKUP(S6,TeamList[מס"ד],TeamList[ישוב]),"")</f>
        <v>בית שמש</v>
      </c>
      <c r="AF9" s="84" t="str">
        <f ca="1">IFERROR(_xlfn.XLOOKUP(T6,TeamList[מס"ד],TeamList[ישוב]),"")</f>
        <v>מודיעין-מכבים-רעות</v>
      </c>
      <c r="AG9" s="84" t="str">
        <f ca="1">IFERROR(_xlfn.XLOOKUP(U6,TeamList[מס"ד],TeamList[ישוב]),"")</f>
        <v>נצרת</v>
      </c>
      <c r="AH9" s="84" t="str">
        <f ca="1">IFERROR(_xlfn.XLOOKUP(V6,TeamList[מס"ד],TeamList[ישוב]),"")</f>
        <v/>
      </c>
      <c r="AI9" s="84" t="str">
        <f ca="1">IFERROR(_xlfn.XLOOKUP(W6,TeamList[מס"ד],TeamList[ישוב]),"")</f>
        <v/>
      </c>
      <c r="AJ9" s="84" t="str">
        <f ca="1">IFERROR(_xlfn.XLOOKUP(X6,TeamList[מס"ד],TeamList[ישוב]),"")</f>
        <v/>
      </c>
      <c r="AK9" s="85" t="str">
        <f ca="1">IFERROR(_xlfn.XLOOKUP(Y6,TeamList[מס"ד],TeamList[ישוב]),"")</f>
        <v/>
      </c>
    </row>
    <row r="10" spans="1:37" s="4" customFormat="1" ht="14.4" customHeight="1" x14ac:dyDescent="0.65">
      <c r="A10" s="35">
        <v>6</v>
      </c>
      <c r="B10" s="1">
        <f t="shared" si="4"/>
        <v>19</v>
      </c>
      <c r="C10" s="34">
        <f t="shared" si="2"/>
        <v>0.46180555555555552</v>
      </c>
      <c r="D10" s="34">
        <f>HRGame1Table[[#This Row],[התחלה]]+TIME(0,3,0)</f>
        <v>0.46388888888888885</v>
      </c>
      <c r="E10" s="41">
        <f ca="1">IFERROR(INDEX(OFFSET('תכנית לפי קבוצות'!$C$62,$A10*4,0,4,4),MATCH(E$1,OFFSET('תכנית לפי קבוצות'!$F$62,$A10*4,0,4,1),0),1),"")</f>
        <v>37</v>
      </c>
      <c r="F10" s="41">
        <f ca="1">IFERROR(INDEX(OFFSET('תכנית לפי קבוצות'!$C$62,$A10*4,0,4,4),MATCH(F$1,OFFSET('תכנית לפי קבוצות'!$F$62,$A10*4,0,4,1),0),1),"")</f>
        <v>39</v>
      </c>
      <c r="G10" s="41">
        <f ca="1">IFERROR(INDEX(OFFSET('תכנית לפי קבוצות'!$C$62,$A10*4,0,4,4),MATCH(G$1,OFFSET('תכנית לפי קבוצות'!$F$62,$A10*4,0,4,1),0),1),"")</f>
        <v>33</v>
      </c>
      <c r="H10" s="41">
        <f ca="1">IFERROR(INDEX(OFFSET('תכנית לפי קבוצות'!$C$62,$A10*4,0,4,4),MATCH(H$1,OFFSET('תכנית לפי קבוצות'!$F$62,$A10*4,0,4,1),0),1),"")</f>
        <v>35</v>
      </c>
      <c r="I10" s="41" t="str">
        <f ca="1">IFERROR(INDEX(OFFSET('תכנית לפי קבוצות'!$C$62,$A10*4,0,4,4),MATCH(I$1,OFFSET('תכנית לפי קבוצות'!$F$62,$A10*4,0,4,1),0),1),"")</f>
        <v/>
      </c>
      <c r="J10" s="41" t="str">
        <f ca="1">IFERROR(INDEX(OFFSET('תכנית לפי קבוצות'!$C$62,$A10*4,0,4,4),MATCH(J$1,OFFSET('תכנית לפי קבוצות'!$F$62,$A10*4,0,4,1),0),1),"")</f>
        <v/>
      </c>
      <c r="K10" s="41" t="str">
        <f ca="1">IFERROR(INDEX(OFFSET('תכנית לפי קבוצות'!$C$62,$A10*4,0,4,4),MATCH(K$1,OFFSET('תכנית לפי קבוצות'!$F$62,$A10*4,0,4,1),0),1),"")</f>
        <v/>
      </c>
      <c r="L10" s="41" t="str">
        <f ca="1">IFERROR(INDEX(OFFSET('תכנית לפי קבוצות'!$C$62,$A10*4,0,4,4),MATCH(L$1,OFFSET('תכנית לפי קבוצות'!$F$62,$A10*4,0,4,1),0),1),"")</f>
        <v/>
      </c>
      <c r="M10" s="1"/>
      <c r="N10" s="1"/>
      <c r="O10" s="1">
        <v>7</v>
      </c>
      <c r="P10" s="34">
        <f t="shared" si="3"/>
        <v>0.38958333333333323</v>
      </c>
      <c r="Q10" s="34">
        <f>HRPracticeTable[[#This Row],[התחלה]]+TIME(0,3,0)</f>
        <v>0.39166666666666655</v>
      </c>
      <c r="R10" s="1">
        <f ca="1">IFERROR(INDEX(OFFSET('תכנית לפי קבוצות'!$L$62,$A10*4,0,4,4),MATCH(R$1,OFFSET('תכנית לפי קבוצות'!$O$62,$A10*4,0,4,1),0),1),"")</f>
        <v>27</v>
      </c>
      <c r="S10" s="1">
        <f ca="1">IFERROR(INDEX(OFFSET('תכנית לפי קבוצות'!$L$62,$A10*4,0,4,4),MATCH(S$1,OFFSET('תכנית לפי קבוצות'!$O$62,$A10*4,0,4,1),0),1),"")</f>
        <v>31</v>
      </c>
      <c r="T10" s="1">
        <f ca="1">IFERROR(INDEX(OFFSET('תכנית לפי קבוצות'!$L$62,$A10*4,0,4,4),MATCH(T$1,OFFSET('תכנית לפי קבוצות'!$O$62,$A10*4,0,4,1),0),1),"")</f>
        <v>35</v>
      </c>
      <c r="U10" s="1">
        <f ca="1">IFERROR(INDEX(OFFSET('תכנית לפי קבוצות'!$L$62,$A10*4,0,4,4),MATCH(U$1,OFFSET('תכנית לפי קבוצות'!$O$62,$A10*4,0,4,1),0),1),"")</f>
        <v>39</v>
      </c>
      <c r="V10" s="1" t="str">
        <f ca="1">IFERROR(INDEX(OFFSET('תכנית לפי קבוצות'!$L$62,$A10*4,0,4,4),MATCH(V$1,OFFSET('תכנית לפי קבוצות'!$O$62,$A10*4,0,4,1),0),1),"")</f>
        <v/>
      </c>
      <c r="W10" s="1" t="str">
        <f ca="1">IFERROR(INDEX(OFFSET('תכנית לפי קבוצות'!$L$62,$A10*4,0,4,4),MATCH(W$1,OFFSET('תכנית לפי קבוצות'!$O$62,$A10*4,0,4,1),0),1),"")</f>
        <v/>
      </c>
      <c r="X10" s="1" t="str">
        <f ca="1">IFERROR(INDEX(OFFSET('תכנית לפי קבוצות'!$L$62,$A10*4,0,4,4),MATCH(X$1,OFFSET('תכנית לפי קבוצות'!$O$62,$A10*4,0,4,1),0),1),"")</f>
        <v/>
      </c>
      <c r="Y10" s="1" t="str">
        <f ca="1">IFERROR(INDEX(OFFSET('תכנית לפי קבוצות'!$L$62,$A10*4,0,4,4),MATCH(Y$1,OFFSET('תכנית לפי קבוצות'!$O$62,$A10*4,0,4,1),0),1),"")</f>
        <v/>
      </c>
      <c r="AA10" s="235">
        <v>4</v>
      </c>
      <c r="AB10" s="237">
        <f>AB8+PM</f>
        <v>0.37708333333333327</v>
      </c>
      <c r="AC10" s="237">
        <f>AB10+TIME(0,3,0)</f>
        <v>0.3791666666666666</v>
      </c>
      <c r="AD10" s="24" t="str">
        <f ca="1">IFERROR(CONCATENATE(_xlfn.XLOOKUP(R7,TeamList[מס"ד],TeamList[מס'' הקבוצה])," ",_xlfn.XLOOKUP(R7,TeamList[מס"ד],TeamList[שם הקבוצה])),"")</f>
        <v/>
      </c>
      <c r="AE10" s="24" t="str">
        <f ca="1">IFERROR(CONCATENATE(_xlfn.XLOOKUP(S7,TeamList[מס"ד],TeamList[מס'' הקבוצה])," ",_xlfn.XLOOKUP(S7,TeamList[מס"ד],TeamList[שם הקבוצה])),"")</f>
        <v/>
      </c>
      <c r="AF10" s="24" t="str">
        <f ca="1">IFERROR(CONCATENATE(_xlfn.XLOOKUP(T7,TeamList[מס"ד],TeamList[מס'' הקבוצה])," ",_xlfn.XLOOKUP(T7,TeamList[מס"ד],TeamList[שם הקבוצה])),"")</f>
        <v/>
      </c>
      <c r="AG10" s="24" t="str">
        <f ca="1">IFERROR(CONCATENATE(_xlfn.XLOOKUP(U7,TeamList[מס"ד],TeamList[מס'' הקבוצה])," ",_xlfn.XLOOKUP(U7,TeamList[מס"ד],TeamList[שם הקבוצה])),"")</f>
        <v/>
      </c>
      <c r="AH10" s="24" t="str">
        <f ca="1">IFERROR(CONCATENATE(_xlfn.XLOOKUP(V7,TeamList[מס"ד],TeamList[מס'' הקבוצה])," ",_xlfn.XLOOKUP(V7,TeamList[מס"ד],TeamList[שם הקבוצה])),"")</f>
        <v>3139 ידלין</v>
      </c>
      <c r="AI10" s="24" t="str">
        <f ca="1">IFERROR(CONCATENATE(_xlfn.XLOOKUP(W7,TeamList[מס"ד],TeamList[מס'' הקבוצה])," ",_xlfn.XLOOKUP(W7,TeamList[מס"ד],TeamList[שם הקבוצה])),"")</f>
        <v>3146 אלבוכארי</v>
      </c>
      <c r="AJ10" s="24" t="str">
        <f ca="1">IFERROR(CONCATENATE(_xlfn.XLOOKUP(X7,TeamList[מס"ד],TeamList[מס'' הקבוצה])," ",_xlfn.XLOOKUP(X7,TeamList[מס"ד],TeamList[שם הקבוצה])),"")</f>
        <v>2222 אפרתה</v>
      </c>
      <c r="AK10" s="72" t="str">
        <f ca="1">IFERROR(CONCATENATE(_xlfn.XLOOKUP(Y7,TeamList[מס"ד],TeamList[מס'' הקבוצה])," ",_xlfn.XLOOKUP(Y7,TeamList[מס"ד],TeamList[שם הקבוצה])),"")</f>
        <v>1864 אפרתה</v>
      </c>
    </row>
    <row r="11" spans="1:37" s="4" customFormat="1" ht="14.4" customHeight="1" thickBot="1" x14ac:dyDescent="0.8">
      <c r="A11" s="35">
        <v>7</v>
      </c>
      <c r="B11" s="1">
        <f t="shared" si="4"/>
        <v>20</v>
      </c>
      <c r="C11" s="34">
        <f t="shared" si="2"/>
        <v>0.46527777777777779</v>
      </c>
      <c r="D11" s="34">
        <f>HRGame1Table[[#This Row],[התחלה]]+TIME(0,3,0)</f>
        <v>0.46736111111111112</v>
      </c>
      <c r="E11" s="41" t="str">
        <f ca="1">IFERROR(INDEX(OFFSET('תכנית לפי קבוצות'!$C$62,$A11*4,0,4,4),MATCH(E$1,OFFSET('תכנית לפי קבוצות'!$F$62,$A11*4,0,4,1),0),1),"")</f>
        <v/>
      </c>
      <c r="F11" s="41" t="str">
        <f ca="1">IFERROR(INDEX(OFFSET('תכנית לפי קבוצות'!$C$62,$A11*4,0,4,4),MATCH(F$1,OFFSET('תכנית לפי קבוצות'!$F$62,$A11*4,0,4,1),0),1),"")</f>
        <v/>
      </c>
      <c r="G11" s="41" t="str">
        <f ca="1">IFERROR(INDEX(OFFSET('תכנית לפי קבוצות'!$C$62,$A11*4,0,4,4),MATCH(G$1,OFFSET('תכנית לפי קבוצות'!$F$62,$A11*4,0,4,1),0),1),"")</f>
        <v/>
      </c>
      <c r="H11" s="41" t="str">
        <f ca="1">IFERROR(INDEX(OFFSET('תכנית לפי קבוצות'!$C$62,$A11*4,0,4,4),MATCH(H$1,OFFSET('תכנית לפי קבוצות'!$F$62,$A11*4,0,4,1),0),1),"")</f>
        <v/>
      </c>
      <c r="I11" s="41">
        <f ca="1">IFERROR(INDEX(OFFSET('תכנית לפי קבוצות'!$C$62,$A11*4,0,4,4),MATCH(I$1,OFFSET('תכנית לפי קבוצות'!$F$62,$A11*4,0,4,1),0),1),"")</f>
        <v>38</v>
      </c>
      <c r="J11" s="41">
        <f ca="1">IFERROR(INDEX(OFFSET('תכנית לפי קבוצות'!$C$62,$A11*4,0,4,4),MATCH(J$1,OFFSET('תכנית לפי קבוצות'!$F$62,$A11*4,0,4,1),0),1),"")</f>
        <v>40</v>
      </c>
      <c r="K11" s="41">
        <f ca="1">IFERROR(INDEX(OFFSET('תכנית לפי קבוצות'!$C$62,$A11*4,0,4,4),MATCH(K$1,OFFSET('תכנית לפי קבוצות'!$F$62,$A11*4,0,4,1),0),1),"")</f>
        <v>34</v>
      </c>
      <c r="L11" s="41">
        <f ca="1">IFERROR(INDEX(OFFSET('תכנית לפי קבוצות'!$C$62,$A11*4,0,4,4),MATCH(L$1,OFFSET('תכנית לפי קבוצות'!$F$62,$A11*4,0,4,1),0),1),"")</f>
        <v>36</v>
      </c>
      <c r="M11" s="1"/>
      <c r="N11" s="1"/>
      <c r="O11" s="1">
        <v>8</v>
      </c>
      <c r="P11" s="34">
        <f t="shared" si="3"/>
        <v>0.39374999999999988</v>
      </c>
      <c r="Q11" s="34">
        <f>HRPracticeTable[[#This Row],[התחלה]]+TIME(0,3,0)</f>
        <v>0.3958333333333332</v>
      </c>
      <c r="R11" s="1" t="str">
        <f ca="1">IFERROR(INDEX(OFFSET('תכנית לפי קבוצות'!$L$62,$A11*4,0,4,4),MATCH(R$1,OFFSET('תכנית לפי קבוצות'!$O$62,$A11*4,0,4,1),0),1),"")</f>
        <v/>
      </c>
      <c r="S11" s="1" t="str">
        <f ca="1">IFERROR(INDEX(OFFSET('תכנית לפי קבוצות'!$L$62,$A11*4,0,4,4),MATCH(S$1,OFFSET('תכנית לפי קבוצות'!$O$62,$A11*4,0,4,1),0),1),"")</f>
        <v/>
      </c>
      <c r="T11" s="1" t="str">
        <f ca="1">IFERROR(INDEX(OFFSET('תכנית לפי קבוצות'!$L$62,$A11*4,0,4,4),MATCH(T$1,OFFSET('תכנית לפי קבוצות'!$O$62,$A11*4,0,4,1),0),1),"")</f>
        <v/>
      </c>
      <c r="U11" s="1" t="str">
        <f ca="1">IFERROR(INDEX(OFFSET('תכנית לפי קבוצות'!$L$62,$A11*4,0,4,4),MATCH(U$1,OFFSET('תכנית לפי קבוצות'!$O$62,$A11*4,0,4,1),0),1),"")</f>
        <v/>
      </c>
      <c r="V11" s="1">
        <f ca="1">IFERROR(INDEX(OFFSET('תכנית לפי קבוצות'!$L$62,$A11*4,0,4,4),MATCH(V$1,OFFSET('תכנית לפי קבוצות'!$O$62,$A11*4,0,4,1),0),1),"")</f>
        <v>28</v>
      </c>
      <c r="W11" s="1">
        <f ca="1">IFERROR(INDEX(OFFSET('תכנית לפי קבוצות'!$L$62,$A11*4,0,4,4),MATCH(W$1,OFFSET('תכנית לפי קבוצות'!$O$62,$A11*4,0,4,1),0),1),"")</f>
        <v>32</v>
      </c>
      <c r="X11" s="1">
        <f ca="1">IFERROR(INDEX(OFFSET('תכנית לפי קבוצות'!$L$62,$A11*4,0,4,4),MATCH(X$1,OFFSET('תכנית לפי קבוצות'!$O$62,$A11*4,0,4,1),0),1),"")</f>
        <v>36</v>
      </c>
      <c r="Y11" s="1">
        <f ca="1">IFERROR(INDEX(OFFSET('תכנית לפי קבוצות'!$L$62,$A11*4,0,4,4),MATCH(Y$1,OFFSET('תכנית לפי קבוצות'!$O$62,$A11*4,0,4,1),0),1),"")</f>
        <v>40</v>
      </c>
      <c r="AA11" s="236"/>
      <c r="AB11" s="238"/>
      <c r="AC11" s="238"/>
      <c r="AD11" s="86" t="str">
        <f ca="1">IFERROR(_xlfn.XLOOKUP(R7,TeamList[מס"ד],TeamList[ישוב]),"")</f>
        <v/>
      </c>
      <c r="AE11" s="86" t="str">
        <f ca="1">IFERROR(_xlfn.XLOOKUP(S7,TeamList[מס"ד],TeamList[ישוב]),"")</f>
        <v/>
      </c>
      <c r="AF11" s="86" t="str">
        <f ca="1">IFERROR(_xlfn.XLOOKUP(T7,TeamList[מס"ד],TeamList[ישוב]),"")</f>
        <v/>
      </c>
      <c r="AG11" s="86" t="str">
        <f ca="1">IFERROR(_xlfn.XLOOKUP(U7,TeamList[מס"ד],TeamList[ישוב]),"")</f>
        <v/>
      </c>
      <c r="AH11" s="86" t="str">
        <f ca="1">IFERROR(_xlfn.XLOOKUP(V7,TeamList[מס"ד],TeamList[ישוב]),"")</f>
        <v>ראשון לציון</v>
      </c>
      <c r="AI11" s="86" t="str">
        <f ca="1">IFERROR(_xlfn.XLOOKUP(W7,TeamList[מס"ד],TeamList[ישוב]),"")</f>
        <v>עראבה</v>
      </c>
      <c r="AJ11" s="86" t="str">
        <f ca="1">IFERROR(_xlfn.XLOOKUP(X7,TeamList[מס"ד],TeamList[ישוב]),"")</f>
        <v>ירושלים</v>
      </c>
      <c r="AK11" s="87" t="str">
        <f ca="1">IFERROR(_xlfn.XLOOKUP(Y7,TeamList[מס"ד],TeamList[ישוב]),"")</f>
        <v>ירושלים</v>
      </c>
    </row>
    <row r="12" spans="1:37" s="4" customFormat="1" ht="14.4" customHeight="1" x14ac:dyDescent="0.65">
      <c r="A12" s="35">
        <v>8</v>
      </c>
      <c r="B12" s="1">
        <f t="shared" si="4"/>
        <v>21</v>
      </c>
      <c r="C12" s="34">
        <f t="shared" si="2"/>
        <v>0.46875</v>
      </c>
      <c r="D12" s="34">
        <f>HRGame1Table[[#This Row],[התחלה]]+TIME(0,3,0)</f>
        <v>0.47083333333333333</v>
      </c>
      <c r="E12" s="41">
        <f ca="1">IFERROR(INDEX(OFFSET('תכנית לפי קבוצות'!$C$62,$A12*4,0,4,4),MATCH(E$1,OFFSET('תכנית לפי קבוצות'!$F$62,$A12*4,0,4,1),0),1),"")</f>
        <v>45</v>
      </c>
      <c r="F12" s="41">
        <f ca="1">IFERROR(INDEX(OFFSET('תכנית לפי קבוצות'!$C$62,$A12*4,0,4,4),MATCH(F$1,OFFSET('תכנית לפי קבוצות'!$F$62,$A12*4,0,4,1),0),1),"")</f>
        <v>47</v>
      </c>
      <c r="G12" s="41">
        <f ca="1">IFERROR(INDEX(OFFSET('תכנית לפי קבוצות'!$C$62,$A12*4,0,4,4),MATCH(G$1,OFFSET('תכנית לפי קבוצות'!$F$62,$A12*4,0,4,1),0),1),"")</f>
        <v>41</v>
      </c>
      <c r="H12" s="41">
        <f ca="1">IFERROR(INDEX(OFFSET('תכנית לפי קבוצות'!$C$62,$A12*4,0,4,4),MATCH(H$1,OFFSET('תכנית לפי קבוצות'!$F$62,$A12*4,0,4,1),0),1),"")</f>
        <v>43</v>
      </c>
      <c r="I12" s="41" t="str">
        <f ca="1">IFERROR(INDEX(OFFSET('תכנית לפי קבוצות'!$C$62,$A12*4,0,4,4),MATCH(I$1,OFFSET('תכנית לפי קבוצות'!$F$62,$A12*4,0,4,1),0),1),"")</f>
        <v/>
      </c>
      <c r="J12" s="41" t="str">
        <f ca="1">IFERROR(INDEX(OFFSET('תכנית לפי קבוצות'!$C$62,$A12*4,0,4,4),MATCH(J$1,OFFSET('תכנית לפי קבוצות'!$F$62,$A12*4,0,4,1),0),1),"")</f>
        <v/>
      </c>
      <c r="K12" s="41" t="str">
        <f ca="1">IFERROR(INDEX(OFFSET('תכנית לפי קבוצות'!$C$62,$A12*4,0,4,4),MATCH(K$1,OFFSET('תכנית לפי קבוצות'!$F$62,$A12*4,0,4,1),0),1),"")</f>
        <v/>
      </c>
      <c r="L12" s="41" t="str">
        <f ca="1">IFERROR(INDEX(OFFSET('תכנית לפי קבוצות'!$C$62,$A12*4,0,4,4),MATCH(L$1,OFFSET('תכנית לפי קבוצות'!$F$62,$A12*4,0,4,1),0),1),"")</f>
        <v/>
      </c>
      <c r="M12" s="1"/>
      <c r="N12" s="1"/>
      <c r="O12" s="1">
        <v>9</v>
      </c>
      <c r="P12" s="34">
        <f t="shared" si="3"/>
        <v>0.39791666666666653</v>
      </c>
      <c r="Q12" s="34">
        <f>HRPracticeTable[[#This Row],[התחלה]]+TIME(0,3,0)</f>
        <v>0.39999999999999986</v>
      </c>
      <c r="R12" s="1">
        <f ca="1">IFERROR(INDEX(OFFSET('תכנית לפי קבוצות'!$L$62,$A12*4,0,4,4),MATCH(R$1,OFFSET('תכנית לפי קבוצות'!$O$62,$A12*4,0,4,1),0),1),"")</f>
        <v>1</v>
      </c>
      <c r="S12" s="1">
        <f ca="1">IFERROR(INDEX(OFFSET('תכנית לפי קבוצות'!$L$62,$A12*4,0,4,4),MATCH(S$1,OFFSET('תכנית לפי קבוצות'!$O$62,$A12*4,0,4,1),0),1),"")</f>
        <v>5</v>
      </c>
      <c r="T12" s="1">
        <f ca="1">IFERROR(INDEX(OFFSET('תכנית לפי קבוצות'!$L$62,$A12*4,0,4,4),MATCH(T$1,OFFSET('תכנית לפי קבוצות'!$O$62,$A12*4,0,4,1),0),1),"")</f>
        <v>41</v>
      </c>
      <c r="U12" s="1">
        <f ca="1">IFERROR(INDEX(OFFSET('תכנית לפי קבוצות'!$L$62,$A12*4,0,4,4),MATCH(U$1,OFFSET('תכנית לפי קבוצות'!$O$62,$A12*4,0,4,1),0),1),"")</f>
        <v>45</v>
      </c>
      <c r="V12" s="1" t="str">
        <f ca="1">IFERROR(INDEX(OFFSET('תכנית לפי קבוצות'!$L$62,$A12*4,0,4,4),MATCH(V$1,OFFSET('תכנית לפי קבוצות'!$O$62,$A12*4,0,4,1),0),1),"")</f>
        <v/>
      </c>
      <c r="W12" s="1" t="str">
        <f ca="1">IFERROR(INDEX(OFFSET('תכנית לפי קבוצות'!$L$62,$A12*4,0,4,4),MATCH(W$1,OFFSET('תכנית לפי קבוצות'!$O$62,$A12*4,0,4,1),0),1),"")</f>
        <v/>
      </c>
      <c r="X12" s="1" t="str">
        <f ca="1">IFERROR(INDEX(OFFSET('תכנית לפי קבוצות'!$L$62,$A12*4,0,4,4),MATCH(X$1,OFFSET('תכנית לפי קבוצות'!$O$62,$A12*4,0,4,1),0),1),"")</f>
        <v/>
      </c>
      <c r="Y12" s="1" t="str">
        <f ca="1">IFERROR(INDEX(OFFSET('תכנית לפי קבוצות'!$L$62,$A12*4,0,4,4),MATCH(Y$1,OFFSET('תכנית לפי קבוצות'!$O$62,$A12*4,0,4,1),0),1),"")</f>
        <v/>
      </c>
      <c r="AA12" s="231">
        <v>5</v>
      </c>
      <c r="AB12" s="233">
        <f>AB10+PM</f>
        <v>0.38124999999999992</v>
      </c>
      <c r="AC12" s="233">
        <f>AB12+TIME(0,3,0)</f>
        <v>0.38333333333333325</v>
      </c>
      <c r="AD12" s="23" t="str">
        <f ca="1">IFERROR(CONCATENATE(_xlfn.XLOOKUP(R8,TeamList[מס"ד],TeamList[מס'' הקבוצה])," ",_xlfn.XLOOKUP(R8,TeamList[מס"ד],TeamList[שם הקבוצה])),"")</f>
        <v>2840 נצח ישראל</v>
      </c>
      <c r="AE12" s="23" t="str">
        <f ca="1">IFERROR(CONCATENATE(_xlfn.XLOOKUP(S8,TeamList[מס"ד],TeamList[מס'' הקבוצה])," ",_xlfn.XLOOKUP(S8,TeamList[מס"ד],TeamList[שם הקבוצה])),"")</f>
        <v>1333 אפרתה</v>
      </c>
      <c r="AF12" s="23" t="str">
        <f ca="1">IFERROR(CONCATENATE(_xlfn.XLOOKUP(T8,TeamList[מס"ד],TeamList[מס'' הקבוצה])," ",_xlfn.XLOOKUP(T8,TeamList[מס"ד],TeamList[שם הקבוצה])),"")</f>
        <v xml:space="preserve">1324 עירוני ד </v>
      </c>
      <c r="AG12" s="23" t="str">
        <f ca="1">IFERROR(CONCATENATE(_xlfn.XLOOKUP(U8,TeamList[מס"ד],TeamList[מס'' הקבוצה])," ",_xlfn.XLOOKUP(U8,TeamList[מס"ד],TeamList[שם הקבוצה])),"")</f>
        <v xml:space="preserve">1300 מרכז מחוננים </v>
      </c>
      <c r="AH12" s="23" t="str">
        <f ca="1">IFERROR(CONCATENATE(_xlfn.XLOOKUP(V8,TeamList[מס"ד],TeamList[מס'' הקבוצה])," ",_xlfn.XLOOKUP(V8,TeamList[מס"ד],TeamList[שם הקבוצה])),"")</f>
        <v/>
      </c>
      <c r="AI12" s="23" t="str">
        <f ca="1">IFERROR(CONCATENATE(_xlfn.XLOOKUP(W8,TeamList[מס"ד],TeamList[מס'' הקבוצה])," ",_xlfn.XLOOKUP(W8,TeamList[מס"ד],TeamList[שם הקבוצה])),"")</f>
        <v/>
      </c>
      <c r="AJ12" s="23" t="str">
        <f ca="1">IFERROR(CONCATENATE(_xlfn.XLOOKUP(X8,TeamList[מס"ד],TeamList[מס'' הקבוצה])," ",_xlfn.XLOOKUP(X8,TeamList[מס"ד],TeamList[שם הקבוצה])),"")</f>
        <v/>
      </c>
      <c r="AK12" s="73" t="str">
        <f ca="1">IFERROR(CONCATENATE(_xlfn.XLOOKUP(Y8,TeamList[מס"ד],TeamList[מס'' הקבוצה])," ",_xlfn.XLOOKUP(Y8,TeamList[מס"ד],TeamList[שם הקבוצה])),"")</f>
        <v/>
      </c>
    </row>
    <row r="13" spans="1:37" s="4" customFormat="1" ht="14.4" customHeight="1" thickBot="1" x14ac:dyDescent="0.8">
      <c r="A13" s="35">
        <v>9</v>
      </c>
      <c r="B13" s="1">
        <f t="shared" si="4"/>
        <v>22</v>
      </c>
      <c r="C13" s="34">
        <f t="shared" si="2"/>
        <v>0.47222222222222221</v>
      </c>
      <c r="D13" s="34">
        <f>HRGame1Table[[#This Row],[התחלה]]+TIME(0,3,0)</f>
        <v>0.47430555555555554</v>
      </c>
      <c r="E13" s="41" t="str">
        <f ca="1">IFERROR(INDEX(OFFSET('תכנית לפי קבוצות'!$C$62,$A13*4,0,4,4),MATCH(E$1,OFFSET('תכנית לפי קבוצות'!$F$62,$A13*4,0,4,1),0),1),"")</f>
        <v/>
      </c>
      <c r="F13" s="41" t="str">
        <f ca="1">IFERROR(INDEX(OFFSET('תכנית לפי קבוצות'!$C$62,$A13*4,0,4,4),MATCH(F$1,OFFSET('תכנית לפי קבוצות'!$F$62,$A13*4,0,4,1),0),1),"")</f>
        <v/>
      </c>
      <c r="G13" s="41" t="str">
        <f ca="1">IFERROR(INDEX(OFFSET('תכנית לפי קבוצות'!$C$62,$A13*4,0,4,4),MATCH(G$1,OFFSET('תכנית לפי קבוצות'!$F$62,$A13*4,0,4,1),0),1),"")</f>
        <v/>
      </c>
      <c r="H13" s="41" t="str">
        <f ca="1">IFERROR(INDEX(OFFSET('תכנית לפי קבוצות'!$C$62,$A13*4,0,4,4),MATCH(H$1,OFFSET('תכנית לפי קבוצות'!$F$62,$A13*4,0,4,1),0),1),"")</f>
        <v/>
      </c>
      <c r="I13" s="41">
        <f ca="1">IFERROR(INDEX(OFFSET('תכנית לפי קבוצות'!$C$62,$A13*4,0,4,4),MATCH(I$1,OFFSET('תכנית לפי קבוצות'!$F$62,$A13*4,0,4,1),0),1),"")</f>
        <v>46</v>
      </c>
      <c r="J13" s="41">
        <f ca="1">IFERROR(INDEX(OFFSET('תכנית לפי קבוצות'!$C$62,$A13*4,0,4,4),MATCH(J$1,OFFSET('תכנית לפי קבוצות'!$F$62,$A13*4,0,4,1),0),1),"")</f>
        <v>48</v>
      </c>
      <c r="K13" s="41">
        <f ca="1">IFERROR(INDEX(OFFSET('תכנית לפי קבוצות'!$C$62,$A13*4,0,4,4),MATCH(K$1,OFFSET('תכנית לפי קבוצות'!$F$62,$A13*4,0,4,1),0),1),"")</f>
        <v>42</v>
      </c>
      <c r="L13" s="41">
        <f ca="1">IFERROR(INDEX(OFFSET('תכנית לפי קבוצות'!$C$62,$A13*4,0,4,4),MATCH(L$1,OFFSET('תכנית לפי קבוצות'!$F$62,$A13*4,0,4,1),0),1),"")</f>
        <v>44</v>
      </c>
      <c r="M13" s="1"/>
      <c r="N13" s="1"/>
      <c r="O13" s="1">
        <v>10</v>
      </c>
      <c r="P13" s="34">
        <f t="shared" si="3"/>
        <v>0.40208333333333318</v>
      </c>
      <c r="Q13" s="34">
        <f>HRPracticeTable[[#This Row],[התחלה]]+TIME(0,3,0)</f>
        <v>0.40416666666666651</v>
      </c>
      <c r="R13" s="1" t="str">
        <f ca="1">IFERROR(INDEX(OFFSET('תכנית לפי קבוצות'!$L$62,$A13*4,0,4,4),MATCH(R$1,OFFSET('תכנית לפי קבוצות'!$O$62,$A13*4,0,4,1),0),1),"")</f>
        <v/>
      </c>
      <c r="S13" s="1" t="str">
        <f ca="1">IFERROR(INDEX(OFFSET('תכנית לפי קבוצות'!$L$62,$A13*4,0,4,4),MATCH(S$1,OFFSET('תכנית לפי קבוצות'!$O$62,$A13*4,0,4,1),0),1),"")</f>
        <v/>
      </c>
      <c r="T13" s="1" t="str">
        <f ca="1">IFERROR(INDEX(OFFSET('תכנית לפי קבוצות'!$L$62,$A13*4,0,4,4),MATCH(T$1,OFFSET('תכנית לפי קבוצות'!$O$62,$A13*4,0,4,1),0),1),"")</f>
        <v/>
      </c>
      <c r="U13" s="1" t="str">
        <f ca="1">IFERROR(INDEX(OFFSET('תכנית לפי קבוצות'!$L$62,$A13*4,0,4,4),MATCH(U$1,OFFSET('תכנית לפי קבוצות'!$O$62,$A13*4,0,4,1),0),1),"")</f>
        <v/>
      </c>
      <c r="V13" s="1">
        <f ca="1">IFERROR(INDEX(OFFSET('תכנית לפי קבוצות'!$L$62,$A13*4,0,4,4),MATCH(V$1,OFFSET('תכנית לפי קבוצות'!$O$62,$A13*4,0,4,1),0),1),"")</f>
        <v>2</v>
      </c>
      <c r="W13" s="1">
        <f ca="1">IFERROR(INDEX(OFFSET('תכנית לפי קבוצות'!$L$62,$A13*4,0,4,4),MATCH(W$1,OFFSET('תכנית לפי קבוצות'!$O$62,$A13*4,0,4,1),0),1),"")</f>
        <v>6</v>
      </c>
      <c r="X13" s="1">
        <f ca="1">IFERROR(INDEX(OFFSET('תכנית לפי קבוצות'!$L$62,$A13*4,0,4,4),MATCH(X$1,OFFSET('תכנית לפי קבוצות'!$O$62,$A13*4,0,4,1),0),1),"")</f>
        <v>42</v>
      </c>
      <c r="Y13" s="1">
        <f ca="1">IFERROR(INDEX(OFFSET('תכנית לפי קבוצות'!$L$62,$A13*4,0,4,4),MATCH(Y$1,OFFSET('תכנית לפי קבוצות'!$O$62,$A13*4,0,4,1),0),1),"")</f>
        <v>46</v>
      </c>
      <c r="AA13" s="232"/>
      <c r="AB13" s="234"/>
      <c r="AC13" s="234"/>
      <c r="AD13" s="84" t="str">
        <f ca="1">IFERROR(_xlfn.XLOOKUP(R8,TeamList[מס"ד],TeamList[ישוב]),"")</f>
        <v>בית שמש</v>
      </c>
      <c r="AE13" s="84" t="str">
        <f ca="1">IFERROR(_xlfn.XLOOKUP(S8,TeamList[מס"ד],TeamList[ישוב]),"")</f>
        <v>ירושלים</v>
      </c>
      <c r="AF13" s="84" t="str">
        <f ca="1">IFERROR(_xlfn.XLOOKUP(T8,TeamList[מס"ד],TeamList[ישוב]),"")</f>
        <v>מודיעין-מכבים-רעות</v>
      </c>
      <c r="AG13" s="84" t="str">
        <f ca="1">IFERROR(_xlfn.XLOOKUP(U8,TeamList[מס"ד],TeamList[ישוב]),"")</f>
        <v>עראבה</v>
      </c>
      <c r="AH13" s="84" t="str">
        <f ca="1">IFERROR(_xlfn.XLOOKUP(V8,TeamList[מס"ד],TeamList[ישוב]),"")</f>
        <v/>
      </c>
      <c r="AI13" s="84" t="str">
        <f ca="1">IFERROR(_xlfn.XLOOKUP(W8,TeamList[מס"ד],TeamList[ישוב]),"")</f>
        <v/>
      </c>
      <c r="AJ13" s="84" t="str">
        <f ca="1">IFERROR(_xlfn.XLOOKUP(X8,TeamList[מס"ד],TeamList[ישוב]),"")</f>
        <v/>
      </c>
      <c r="AK13" s="85" t="str">
        <f ca="1">IFERROR(_xlfn.XLOOKUP(Y8,TeamList[מס"ד],TeamList[ישוב]),"")</f>
        <v/>
      </c>
    </row>
    <row r="14" spans="1:37" s="4" customFormat="1" ht="14.4" customHeight="1" x14ac:dyDescent="0.65">
      <c r="A14" s="35">
        <v>10</v>
      </c>
      <c r="B14" s="1">
        <f t="shared" si="4"/>
        <v>23</v>
      </c>
      <c r="C14" s="34">
        <f t="shared" si="2"/>
        <v>0.47569444444444442</v>
      </c>
      <c r="D14" s="34">
        <f>HRGame1Table[[#This Row],[התחלה]]+TIME(0,3,0)</f>
        <v>0.47777777777777775</v>
      </c>
      <c r="E14" s="41">
        <f ca="1">IFERROR(INDEX(OFFSET('תכנית לפי קבוצות'!$C$62,$A14*4,0,4,4),MATCH(E$1,OFFSET('תכנית לפי קבוצות'!$F$62,$A14*4,0,4,1),0),1),"")</f>
        <v>18</v>
      </c>
      <c r="F14" s="41">
        <f ca="1">IFERROR(INDEX(OFFSET('תכנית לפי קבוצות'!$C$62,$A14*4,0,4,4),MATCH(F$1,OFFSET('תכנית לפי קבוצות'!$F$62,$A14*4,0,4,1),0),1),"")</f>
        <v>20</v>
      </c>
      <c r="G14" s="41">
        <f ca="1">IFERROR(INDEX(OFFSET('תכנית לפי קבוצות'!$C$62,$A14*4,0,4,4),MATCH(G$1,OFFSET('תכנית לפי קבוצות'!$F$62,$A14*4,0,4,1),0),1),"")</f>
        <v>14</v>
      </c>
      <c r="H14" s="41">
        <f ca="1">IFERROR(INDEX(OFFSET('תכנית לפי קבוצות'!$C$62,$A14*4,0,4,4),MATCH(H$1,OFFSET('תכנית לפי קבוצות'!$F$62,$A14*4,0,4,1),0),1),"")</f>
        <v>16</v>
      </c>
      <c r="I14" s="41" t="str">
        <f ca="1">IFERROR(INDEX(OFFSET('תכנית לפי קבוצות'!$C$62,$A14*4,0,4,4),MATCH(I$1,OFFSET('תכנית לפי קבוצות'!$F$62,$A14*4,0,4,1),0),1),"")</f>
        <v/>
      </c>
      <c r="J14" s="41" t="str">
        <f ca="1">IFERROR(INDEX(OFFSET('תכנית לפי קבוצות'!$C$62,$A14*4,0,4,4),MATCH(J$1,OFFSET('תכנית לפי קבוצות'!$F$62,$A14*4,0,4,1),0),1),"")</f>
        <v/>
      </c>
      <c r="K14" s="41" t="str">
        <f ca="1">IFERROR(INDEX(OFFSET('תכנית לפי קבוצות'!$C$62,$A14*4,0,4,4),MATCH(K$1,OFFSET('תכנית לפי קבוצות'!$F$62,$A14*4,0,4,1),0),1),"")</f>
        <v/>
      </c>
      <c r="L14" s="41" t="str">
        <f ca="1">IFERROR(INDEX(OFFSET('תכנית לפי קבוצות'!$C$62,$A14*4,0,4,4),MATCH(L$1,OFFSET('תכנית לפי קבוצות'!$F$62,$A14*4,0,4,1),0),1),"")</f>
        <v/>
      </c>
      <c r="M14" s="1"/>
      <c r="N14" s="1"/>
      <c r="O14" s="1">
        <v>11</v>
      </c>
      <c r="P14" s="34">
        <f t="shared" si="3"/>
        <v>0.40624999999999983</v>
      </c>
      <c r="Q14" s="34">
        <f>HRPracticeTable[[#This Row],[התחלה]]+TIME(0,3,0)</f>
        <v>0.40833333333333316</v>
      </c>
      <c r="R14" s="1">
        <f ca="1">IFERROR(INDEX(OFFSET('תכנית לפי קבוצות'!$L$62,$A14*4,0,4,4),MATCH(R$1,OFFSET('תכנית לפי קבוצות'!$O$62,$A14*4,0,4,1),0),1),"")</f>
        <v>3</v>
      </c>
      <c r="S14" s="1">
        <f ca="1">IFERROR(INDEX(OFFSET('תכנית לפי קבוצות'!$L$62,$A14*4,0,4,4),MATCH(S$1,OFFSET('תכנית לפי קבוצות'!$O$62,$A14*4,0,4,1),0),1),"")</f>
        <v>7</v>
      </c>
      <c r="T14" s="1">
        <f ca="1">IFERROR(INDEX(OFFSET('תכנית לפי קבוצות'!$L$62,$A14*4,0,4,4),MATCH(T$1,OFFSET('תכנית לפי קבוצות'!$O$62,$A14*4,0,4,1),0),1),"")</f>
        <v>43</v>
      </c>
      <c r="U14" s="1">
        <f ca="1">IFERROR(INDEX(OFFSET('תכנית לפי קבוצות'!$L$62,$A14*4,0,4,4),MATCH(U$1,OFFSET('תכנית לפי קבוצות'!$O$62,$A14*4,0,4,1),0),1),"")</f>
        <v>47</v>
      </c>
      <c r="V14" s="1" t="str">
        <f ca="1">IFERROR(INDEX(OFFSET('תכנית לפי קבוצות'!$L$62,$A14*4,0,4,4),MATCH(V$1,OFFSET('תכנית לפי קבוצות'!$O$62,$A14*4,0,4,1),0),1),"")</f>
        <v/>
      </c>
      <c r="W14" s="1" t="str">
        <f ca="1">IFERROR(INDEX(OFFSET('תכנית לפי קבוצות'!$L$62,$A14*4,0,4,4),MATCH(W$1,OFFSET('תכנית לפי קבוצות'!$O$62,$A14*4,0,4,1),0),1),"")</f>
        <v/>
      </c>
      <c r="X14" s="1" t="str">
        <f ca="1">IFERROR(INDEX(OFFSET('תכנית לפי קבוצות'!$L$62,$A14*4,0,4,4),MATCH(X$1,OFFSET('תכנית לפי קבוצות'!$O$62,$A14*4,0,4,1),0),1),"")</f>
        <v/>
      </c>
      <c r="Y14" s="1" t="str">
        <f ca="1">IFERROR(INDEX(OFFSET('תכנית לפי קבוצות'!$L$62,$A14*4,0,4,4),MATCH(Y$1,OFFSET('תכנית לפי קבוצות'!$O$62,$A14*4,0,4,1),0),1),"")</f>
        <v/>
      </c>
      <c r="AA14" s="235">
        <v>6</v>
      </c>
      <c r="AB14" s="237">
        <f>AB12+PM</f>
        <v>0.38541666666666657</v>
      </c>
      <c r="AC14" s="237">
        <f>AB14+TIME(0,3,0)</f>
        <v>0.3874999999999999</v>
      </c>
      <c r="AD14" s="24" t="str">
        <f ca="1">IFERROR(CONCATENATE(_xlfn.XLOOKUP(R9,TeamList[מס"ד],TeamList[מס'' הקבוצה])," ",_xlfn.XLOOKUP(R9,TeamList[מס"ד],TeamList[שם הקבוצה])),"")</f>
        <v/>
      </c>
      <c r="AE14" s="24" t="str">
        <f ca="1">IFERROR(CONCATENATE(_xlfn.XLOOKUP(S9,TeamList[מס"ד],TeamList[מס'' הקבוצה])," ",_xlfn.XLOOKUP(S9,TeamList[מס"ד],TeamList[שם הקבוצה])),"")</f>
        <v/>
      </c>
      <c r="AF14" s="24" t="str">
        <f ca="1">IFERROR(CONCATENATE(_xlfn.XLOOKUP(T9,TeamList[מס"ד],TeamList[מס'' הקבוצה])," ",_xlfn.XLOOKUP(T9,TeamList[מס"ד],TeamList[שם הקבוצה])),"")</f>
        <v/>
      </c>
      <c r="AG14" s="24" t="str">
        <f ca="1">IFERROR(CONCATENATE(_xlfn.XLOOKUP(U9,TeamList[מס"ד],TeamList[מס'' הקבוצה])," ",_xlfn.XLOOKUP(U9,TeamList[מס"ד],TeamList[שם הקבוצה])),"")</f>
        <v/>
      </c>
      <c r="AH14" s="24" t="str">
        <f ca="1">IFERROR(CONCATENATE(_xlfn.XLOOKUP(V9,TeamList[מס"ד],TeamList[מס'' הקבוצה])," ",_xlfn.XLOOKUP(V9,TeamList[מס"ד],TeamList[שם הקבוצה])),"")</f>
        <v xml:space="preserve">52 הנדסאים </v>
      </c>
      <c r="AI14" s="24" t="str">
        <f ca="1">IFERROR(CONCATENATE(_xlfn.XLOOKUP(W9,TeamList[מס"ד],TeamList[מס'' הקבוצה])," ",_xlfn.XLOOKUP(W9,TeamList[מס"ד],TeamList[שם הקבוצה])),"")</f>
        <v xml:space="preserve">662 אלגדיר </v>
      </c>
      <c r="AJ14" s="24" t="str">
        <f ca="1">IFERROR(CONCATENATE(_xlfn.XLOOKUP(X9,TeamList[מס"ד],TeamList[מס'' הקבוצה])," ",_xlfn.XLOOKUP(X9,TeamList[מס"ד],TeamList[שם הקבוצה])),"")</f>
        <v>2622 גינסבורג</v>
      </c>
      <c r="AK14" s="72" t="str">
        <f ca="1">IFERROR(CONCATENATE(_xlfn.XLOOKUP(Y9,TeamList[מס"ד],TeamList[מס'' הקבוצה])," ",_xlfn.XLOOKUP(Y9,TeamList[מס"ד],TeamList[שם הקבוצה])),"")</f>
        <v xml:space="preserve">3340 עמי אסף </v>
      </c>
    </row>
    <row r="15" spans="1:37" s="4" customFormat="1" ht="14.4" customHeight="1" thickBot="1" x14ac:dyDescent="0.8">
      <c r="A15" s="35">
        <v>11</v>
      </c>
      <c r="B15" s="1">
        <f t="shared" si="4"/>
        <v>24</v>
      </c>
      <c r="C15" s="34">
        <f>start_round_I+ORM*A15</f>
        <v>0.47916666666666663</v>
      </c>
      <c r="D15" s="34">
        <f>HRGame1Table[[#This Row],[התחלה]]+TIME(0,3,0)</f>
        <v>0.48124999999999996</v>
      </c>
      <c r="E15" s="41" t="str">
        <f ca="1">IFERROR(INDEX(OFFSET('תכנית לפי קבוצות'!$C$62,$A15*4,0,4,4),MATCH(E$1,OFFSET('תכנית לפי קבוצות'!$F$62,$A15*4,0,4,1),0),1),"")</f>
        <v/>
      </c>
      <c r="F15" s="41" t="str">
        <f ca="1">IFERROR(INDEX(OFFSET('תכנית לפי קבוצות'!$C$62,$A15*4,0,4,4),MATCH(F$1,OFFSET('תכנית לפי קבוצות'!$F$62,$A15*4,0,4,1),0),1),"")</f>
        <v/>
      </c>
      <c r="G15" s="41" t="str">
        <f ca="1">IFERROR(INDEX(OFFSET('תכנית לפי קבוצות'!$C$62,$A15*4,0,4,4),MATCH(G$1,OFFSET('תכנית לפי קבוצות'!$F$62,$A15*4,0,4,1),0),1),"")</f>
        <v/>
      </c>
      <c r="H15" s="41" t="str">
        <f ca="1">IFERROR(INDEX(OFFSET('תכנית לפי קבוצות'!$C$62,$A15*4,0,4,4),MATCH(H$1,OFFSET('תכנית לפי קבוצות'!$F$62,$A15*4,0,4,1),0),1),"")</f>
        <v/>
      </c>
      <c r="I15" s="41">
        <f ca="1">IFERROR(INDEX(OFFSET('תכנית לפי קבוצות'!$C$62,$A15*4,0,4,4),MATCH(I$1,OFFSET('תכנית לפי קבוצות'!$F$62,$A15*4,0,4,1),0),1),"")</f>
        <v>19</v>
      </c>
      <c r="J15" s="41">
        <f ca="1">IFERROR(INDEX(OFFSET('תכנית לפי קבוצות'!$C$62,$A15*4,0,4,4),MATCH(J$1,OFFSET('תכנית לפי קבוצות'!$F$62,$A15*4,0,4,1),0),1),"")</f>
        <v>21</v>
      </c>
      <c r="K15" s="41">
        <f ca="1">IFERROR(INDEX(OFFSET('תכנית לפי קבוצות'!$C$62,$A15*4,0,4,4),MATCH(K$1,OFFSET('תכנית לפי קבוצות'!$F$62,$A15*4,0,4,1),0),1),"")</f>
        <v>15</v>
      </c>
      <c r="L15" s="41">
        <f ca="1">IFERROR(INDEX(OFFSET('תכנית לפי קבוצות'!$C$62,$A15*4,0,4,4),MATCH(L$1,OFFSET('תכנית לפי קבוצות'!$F$62,$A15*4,0,4,1),0),1),"")</f>
        <v>17</v>
      </c>
      <c r="M15" s="1"/>
      <c r="N15" s="1"/>
      <c r="O15" s="1">
        <v>12</v>
      </c>
      <c r="P15" s="34">
        <f t="shared" si="3"/>
        <v>0.41041666666666649</v>
      </c>
      <c r="Q15" s="34">
        <f>HRPracticeTable[[#This Row],[התחלה]]+TIME(0,3,0)</f>
        <v>0.41249999999999981</v>
      </c>
      <c r="R15" s="1" t="str">
        <f ca="1">IFERROR(INDEX(OFFSET('תכנית לפי קבוצות'!$L$62,$A15*4,0,4,4),MATCH(R$1,OFFSET('תכנית לפי קבוצות'!$O$62,$A15*4,0,4,1),0),1),"")</f>
        <v/>
      </c>
      <c r="S15" s="1" t="str">
        <f ca="1">IFERROR(INDEX(OFFSET('תכנית לפי קבוצות'!$L$62,$A15*4,0,4,4),MATCH(S$1,OFFSET('תכנית לפי קבוצות'!$O$62,$A15*4,0,4,1),0),1),"")</f>
        <v/>
      </c>
      <c r="T15" s="1" t="str">
        <f ca="1">IFERROR(INDEX(OFFSET('תכנית לפי קבוצות'!$L$62,$A15*4,0,4,4),MATCH(T$1,OFFSET('תכנית לפי קבוצות'!$O$62,$A15*4,0,4,1),0),1),"")</f>
        <v/>
      </c>
      <c r="U15" s="1" t="str">
        <f ca="1">IFERROR(INDEX(OFFSET('תכנית לפי קבוצות'!$L$62,$A15*4,0,4,4),MATCH(U$1,OFFSET('תכנית לפי קבוצות'!$O$62,$A15*4,0,4,1),0),1),"")</f>
        <v/>
      </c>
      <c r="V15" s="1">
        <f ca="1">IFERROR(INDEX(OFFSET('תכנית לפי קבוצות'!$L$62,$A15*4,0,4,4),MATCH(V$1,OFFSET('תכנית לפי קבוצות'!$O$62,$A15*4,0,4,1),0),1),"")</f>
        <v>4</v>
      </c>
      <c r="W15" s="1">
        <f ca="1">IFERROR(INDEX(OFFSET('תכנית לפי קבוצות'!$L$62,$A15*4,0,4,4),MATCH(W$1,OFFSET('תכנית לפי קבוצות'!$O$62,$A15*4,0,4,1),0),1),"")</f>
        <v>16</v>
      </c>
      <c r="X15" s="1">
        <f ca="1">IFERROR(INDEX(OFFSET('תכנית לפי קבוצות'!$L$62,$A15*4,0,4,4),MATCH(X$1,OFFSET('תכנית לפי קבוצות'!$O$62,$A15*4,0,4,1),0),1),"")</f>
        <v>44</v>
      </c>
      <c r="Y15" s="1">
        <f ca="1">IFERROR(INDEX(OFFSET('תכנית לפי קבוצות'!$L$62,$A15*4,0,4,4),MATCH(Y$1,OFFSET('תכנית לפי קבוצות'!$O$62,$A15*4,0,4,1),0),1),"")</f>
        <v>48</v>
      </c>
      <c r="AA15" s="236"/>
      <c r="AB15" s="238"/>
      <c r="AC15" s="238"/>
      <c r="AD15" s="86" t="str">
        <f ca="1">IFERROR(_xlfn.XLOOKUP(R9,TeamList[מס"ד],TeamList[ישוב]),"")</f>
        <v/>
      </c>
      <c r="AE15" s="86" t="str">
        <f ca="1">IFERROR(_xlfn.XLOOKUP(S9,TeamList[מס"ד],TeamList[ישוב]),"")</f>
        <v/>
      </c>
      <c r="AF15" s="86" t="str">
        <f ca="1">IFERROR(_xlfn.XLOOKUP(T9,TeamList[מס"ד],TeamList[ישוב]),"")</f>
        <v/>
      </c>
      <c r="AG15" s="86" t="str">
        <f ca="1">IFERROR(_xlfn.XLOOKUP(U9,TeamList[מס"ד],TeamList[ישוב]),"")</f>
        <v/>
      </c>
      <c r="AH15" s="86" t="str">
        <f ca="1">IFERROR(_xlfn.XLOOKUP(V9,TeamList[מס"ד],TeamList[ישוב]),"")</f>
        <v>הרצליה</v>
      </c>
      <c r="AI15" s="86" t="str">
        <f ca="1">IFERROR(_xlfn.XLOOKUP(W9,TeamList[מס"ד],TeamList[ישוב]),"")</f>
        <v>סח׳נין</v>
      </c>
      <c r="AJ15" s="86" t="str">
        <f ca="1">IFERROR(_xlfn.XLOOKUP(X9,TeamList[מס"ד],TeamList[ישוב]),"")</f>
        <v>יבנה</v>
      </c>
      <c r="AK15" s="87" t="str">
        <f ca="1">IFERROR(_xlfn.XLOOKUP(Y9,TeamList[מס"ד],TeamList[ישוב]),"")</f>
        <v>דימונה</v>
      </c>
    </row>
    <row r="16" spans="1:37" s="4" customFormat="1" ht="14.4" customHeight="1" thickBot="1" x14ac:dyDescent="0.8">
      <c r="B16" s="1"/>
      <c r="C16" s="34"/>
      <c r="D16" s="34"/>
      <c r="E16" s="41"/>
      <c r="F16" s="41"/>
      <c r="G16" s="41"/>
      <c r="H16" s="41"/>
      <c r="I16" s="41" t="str">
        <f ca="1">IFERROR(INDEX(OFFSET('תכנית לפי קבוצות'!$C$62,#REF!*4,0,4,4),MATCH(I$1,OFFSET('תכנית לפי קבוצות'!$F$62,#REF!*4,0,4,1),0),1),"")</f>
        <v/>
      </c>
      <c r="J16" s="41" t="str">
        <f ca="1">IFERROR(INDEX(OFFSET('תכנית לפי קבוצות'!$C$62,#REF!*4,0,4,4),MATCH(J$1,OFFSET('תכנית לפי קבוצות'!$F$62,#REF!*4,0,4,1),0),1),"")</f>
        <v/>
      </c>
      <c r="K16" s="41" t="str">
        <f ca="1">IFERROR(INDEX(OFFSET('תכנית לפי קבוצות'!$C$62,#REF!*4,0,4,4),MATCH(K$1,OFFSET('תכנית לפי קבוצות'!$F$62,#REF!*4,0,4,1),0),1),"")</f>
        <v/>
      </c>
      <c r="L16" s="41" t="str">
        <f ca="1">IFERROR(INDEX(OFFSET('תכנית לפי קבוצות'!$C$62,#REF!*4,0,4,4),MATCH(L$1,OFFSET('תכנית לפי קבוצות'!$F$62,#REF!*4,0,4,1),0),1),"")</f>
        <v/>
      </c>
      <c r="M16" s="1"/>
      <c r="N16" s="1"/>
      <c r="P16" s="5"/>
      <c r="Q16" s="5"/>
      <c r="AA16" s="231">
        <v>7</v>
      </c>
      <c r="AB16" s="233">
        <f>AB14+PM</f>
        <v>0.38958333333333323</v>
      </c>
      <c r="AC16" s="233">
        <f>AB16+TIME(0,3,0)</f>
        <v>0.39166666666666655</v>
      </c>
      <c r="AD16" s="23" t="str">
        <f ca="1">IFERROR(CONCATENATE(_xlfn.XLOOKUP(R10,TeamList[מס"ד],TeamList[מס'' הקבוצה])," ",_xlfn.XLOOKUP(R10,TeamList[מס"ד],TeamList[שם הקבוצה])),"")</f>
        <v xml:space="preserve">240 קרית נוער </v>
      </c>
      <c r="AE16" s="219" t="str">
        <f ca="1">IFERROR(CONCATENATE(_xlfn.XLOOKUP(S10,TeamList[מס"ד],TeamList[מס'' הקבוצה])," ",_xlfn.XLOOKUP(S10,TeamList[מס"ד],TeamList[שם הקבוצה])),"")</f>
        <v xml:space="preserve">1301 מרכז מחוננים </v>
      </c>
      <c r="AF16" s="23" t="str">
        <f ca="1">IFERROR(CONCATENATE(_xlfn.XLOOKUP(T10,TeamList[מס"ד],TeamList[מס'' הקבוצה])," ",_xlfn.XLOOKUP(T10,TeamList[מס"ד],TeamList[שם הקבוצה])),"")</f>
        <v>1616 אילן רמון</v>
      </c>
      <c r="AG16" s="23" t="str">
        <f ca="1">IFERROR(CONCATENATE(_xlfn.XLOOKUP(U10,TeamList[מס"ד],TeamList[מס'' הקבוצה])," ",_xlfn.XLOOKUP(U10,TeamList[מס"ד],TeamList[שם הקבוצה])),"")</f>
        <v xml:space="preserve">3128 נרייה </v>
      </c>
      <c r="AH16" s="23" t="str">
        <f ca="1">IFERROR(CONCATENATE(_xlfn.XLOOKUP(V10,TeamList[מס"ד],TeamList[מס'' הקבוצה])," ",_xlfn.XLOOKUP(V10,TeamList[מס"ד],TeamList[שם הקבוצה])),"")</f>
        <v/>
      </c>
      <c r="AI16" s="23" t="str">
        <f ca="1">IFERROR(CONCATENATE(_xlfn.XLOOKUP(W10,TeamList[מס"ד],TeamList[מס'' הקבוצה])," ",_xlfn.XLOOKUP(W10,TeamList[מס"ד],TeamList[שם הקבוצה])),"")</f>
        <v/>
      </c>
      <c r="AJ16" s="23" t="str">
        <f ca="1">IFERROR(CONCATENATE(_xlfn.XLOOKUP(X10,TeamList[מס"ד],TeamList[מס'' הקבוצה])," ",_xlfn.XLOOKUP(X10,TeamList[מס"ד],TeamList[שם הקבוצה])),"")</f>
        <v/>
      </c>
      <c r="AK16" s="73" t="str">
        <f ca="1">IFERROR(CONCATENATE(_xlfn.XLOOKUP(Y10,TeamList[מס"ד],TeamList[מס'' הקבוצה])," ",_xlfn.XLOOKUP(Y10,TeamList[מס"ד],TeamList[שם הקבוצה])),"")</f>
        <v/>
      </c>
    </row>
    <row r="17" spans="1:37" s="4" customFormat="1" ht="14.4" customHeight="1" thickBot="1" x14ac:dyDescent="0.8">
      <c r="B17" s="43" t="s">
        <v>4</v>
      </c>
      <c r="C17" s="42" t="s">
        <v>22</v>
      </c>
      <c r="D17" s="42" t="s">
        <v>23</v>
      </c>
      <c r="E17" s="39" t="s">
        <v>115</v>
      </c>
      <c r="F17" s="39" t="s">
        <v>116</v>
      </c>
      <c r="G17" s="39" t="s">
        <v>117</v>
      </c>
      <c r="H17" s="39" t="s">
        <v>118</v>
      </c>
      <c r="I17" s="39" t="s">
        <v>119</v>
      </c>
      <c r="J17" s="39" t="s">
        <v>120</v>
      </c>
      <c r="K17" s="39" t="s">
        <v>121</v>
      </c>
      <c r="L17" s="39" t="s">
        <v>122</v>
      </c>
      <c r="M17" s="1"/>
      <c r="N17" s="1"/>
      <c r="P17" s="5"/>
      <c r="Q17" s="5"/>
      <c r="AA17" s="232"/>
      <c r="AB17" s="234"/>
      <c r="AC17" s="234"/>
      <c r="AD17" s="84" t="str">
        <f ca="1">IFERROR(_xlfn.XLOOKUP(R10,TeamList[מס"ד],TeamList[ישוב]),"")</f>
        <v>ירושלים</v>
      </c>
      <c r="AE17" s="84" t="str">
        <f ca="1">IFERROR(_xlfn.XLOOKUP(S10,TeamList[מס"ד],TeamList[ישוב]),"")</f>
        <v>עראבה</v>
      </c>
      <c r="AF17" s="84" t="str">
        <f ca="1">IFERROR(_xlfn.XLOOKUP(T10,TeamList[מס"ד],TeamList[ישוב]),"")</f>
        <v>כפר סבא</v>
      </c>
      <c r="AG17" s="84" t="str">
        <f ca="1">IFERROR(_xlfn.XLOOKUP(U10,TeamList[מס"ד],TeamList[ישוב]),"")</f>
        <v>בית הגדי</v>
      </c>
      <c r="AH17" s="84" t="str">
        <f ca="1">IFERROR(_xlfn.XLOOKUP(V10,TeamList[מס"ד],TeamList[ישוב]),"")</f>
        <v/>
      </c>
      <c r="AI17" s="84" t="str">
        <f ca="1">IFERROR(_xlfn.XLOOKUP(W10,TeamList[מס"ד],TeamList[ישוב]),"")</f>
        <v/>
      </c>
      <c r="AJ17" s="84" t="str">
        <f ca="1">IFERROR(_xlfn.XLOOKUP(X10,TeamList[מס"ד],TeamList[ישוב]),"")</f>
        <v/>
      </c>
      <c r="AK17" s="85" t="str">
        <f ca="1">IFERROR(_xlfn.XLOOKUP(Y10,TeamList[מס"ד],TeamList[ישוב]),"")</f>
        <v/>
      </c>
    </row>
    <row r="18" spans="1:37" s="4" customFormat="1" ht="14.4" customHeight="1" x14ac:dyDescent="0.65">
      <c r="A18" s="35">
        <v>0</v>
      </c>
      <c r="B18" s="1">
        <f>_xlfn.XLOOKUP(N,break_scheduler['# of teams],break_scheduler[Round matches])*2+1</f>
        <v>25</v>
      </c>
      <c r="C18" s="34">
        <f t="shared" ref="C18:C29" si="5">start_round_II+ORM*A18</f>
        <v>0.51388888888888884</v>
      </c>
      <c r="D18" s="34">
        <f>HRGame2Table[[#This Row],[התחלה]]+TIME(0,3,0)</f>
        <v>0.51597222222222217</v>
      </c>
      <c r="E18" s="41">
        <f ca="1">IFERROR(INDEX(OFFSET('תכנית לפי קבוצות'!$C$120,$A18*4,0,4,4),MATCH(E$1,OFFSET('תכנית לפי קבוצות'!$F$120,$A18*4,0,4,1),0),1),"")</f>
        <v>10</v>
      </c>
      <c r="F18" s="41">
        <f ca="1">IFERROR(INDEX(OFFSET('תכנית לפי קבוצות'!$C$120,$A18*4,0,4,4),MATCH(F$1,OFFSET('תכנית לפי קבוצות'!$F$120,$A18*4,0,4,1),0),1),"")</f>
        <v>7</v>
      </c>
      <c r="G18" s="41">
        <f ca="1">IFERROR(INDEX(OFFSET('תכנית לפי קבוצות'!$C$120,$A18*4,0,4,4),MATCH(G$1,OFFSET('תכנית לפי קבוצות'!$F$120,$A18*4,0,4,1),0),1),"")</f>
        <v>4</v>
      </c>
      <c r="H18" s="41">
        <f ca="1">IFERROR(INDEX(OFFSET('תכנית לפי קבוצות'!$C$120,$A18*4,0,4,4),MATCH(H$1,OFFSET('תכנית לפי קבוצות'!$F$120,$A18*4,0,4,1),0),1),"")</f>
        <v>1</v>
      </c>
      <c r="I18" s="41" t="str">
        <f ca="1">IFERROR(INDEX(OFFSET('תכנית לפי קבוצות'!$C$120,$A18*4,0,4,4),MATCH(I$1,OFFSET('תכנית לפי קבוצות'!$F$120,$A18*4,0,4,1),0),1),"")</f>
        <v/>
      </c>
      <c r="J18" s="41" t="str">
        <f ca="1">IFERROR(INDEX(OFFSET('תכנית לפי קבוצות'!$C$120,$A18*4,0,4,4),MATCH(J$1,OFFSET('תכנית לפי קבוצות'!$F$120,$A18*4,0,4,1),0),1),"")</f>
        <v/>
      </c>
      <c r="K18" s="41" t="str">
        <f ca="1">IFERROR(INDEX(OFFSET('תכנית לפי קבוצות'!$C$120,$A18*4,0,4,4),MATCH(K$1,OFFSET('תכנית לפי קבוצות'!$F$120,$A18*4,0,4,1),0),1),"")</f>
        <v/>
      </c>
      <c r="L18" s="41" t="str">
        <f ca="1">IFERROR(INDEX(OFFSET('תכנית לפי קבוצות'!$C$120,$A18*4,0,4,4),MATCH(L$1,OFFSET('תכנית לפי קבוצות'!$F$120,$A18*4,0,4,1),0),1),"")</f>
        <v/>
      </c>
      <c r="M18" s="1"/>
      <c r="N18" s="1"/>
      <c r="P18" s="5"/>
      <c r="Q18" s="5"/>
      <c r="AA18" s="235">
        <v>8</v>
      </c>
      <c r="AB18" s="237">
        <f>AB16+PM</f>
        <v>0.39374999999999988</v>
      </c>
      <c r="AC18" s="237">
        <f>AB18+TIME(0,3,0)</f>
        <v>0.3958333333333332</v>
      </c>
      <c r="AD18" s="24" t="str">
        <f ca="1">IFERROR(CONCATENATE(_xlfn.XLOOKUP(R11,TeamList[מס"ד],TeamList[מס'' הקבוצה])," ",_xlfn.XLOOKUP(R11,TeamList[מס"ד],TeamList[שם הקבוצה])),"")</f>
        <v/>
      </c>
      <c r="AE18" s="24" t="str">
        <f ca="1">IFERROR(CONCATENATE(_xlfn.XLOOKUP(S11,TeamList[מס"ד],TeamList[מס'' הקבוצה])," ",_xlfn.XLOOKUP(S11,TeamList[מס"ד],TeamList[שם הקבוצה])),"")</f>
        <v/>
      </c>
      <c r="AF18" s="24" t="str">
        <f ca="1">IFERROR(CONCATENATE(_xlfn.XLOOKUP(T11,TeamList[מס"ד],TeamList[מס'' הקבוצה])," ",_xlfn.XLOOKUP(T11,TeamList[מס"ד],TeamList[שם הקבוצה])),"")</f>
        <v/>
      </c>
      <c r="AG18" s="24" t="str">
        <f ca="1">IFERROR(CONCATENATE(_xlfn.XLOOKUP(U11,TeamList[מס"ד],TeamList[מס'' הקבוצה])," ",_xlfn.XLOOKUP(U11,TeamList[מס"ד],TeamList[שם הקבוצה])),"")</f>
        <v/>
      </c>
      <c r="AH18" s="24" t="str">
        <f ca="1">IFERROR(CONCATENATE(_xlfn.XLOOKUP(V11,TeamList[מס"ד],TeamList[מס'' הקבוצה])," ",_xlfn.XLOOKUP(V11,TeamList[מס"ד],TeamList[שם הקבוצה])),"")</f>
        <v xml:space="preserve">1697 לאורו נלך </v>
      </c>
      <c r="AI18" s="24" t="str">
        <f ca="1">IFERROR(CONCATENATE(_xlfn.XLOOKUP(W11,TeamList[מס"ד],TeamList[מס'' הקבוצה])," ",_xlfn.XLOOKUP(W11,TeamList[מס"ד],TeamList[שם הקבוצה])),"")</f>
        <v>3182 בנים</v>
      </c>
      <c r="AJ18" s="24" t="str">
        <f ca="1">IFERROR(CONCATENATE(_xlfn.XLOOKUP(X11,TeamList[מס"ד],TeamList[מס'' הקבוצה])," ",_xlfn.XLOOKUP(X11,TeamList[מס"ד],TeamList[שם הקבוצה])),"")</f>
        <v>1214 אל זהראא ב</v>
      </c>
      <c r="AK18" s="72" t="str">
        <f ca="1">IFERROR(CONCATENATE(_xlfn.XLOOKUP(Y11,TeamList[מס"ד],TeamList[מס'' הקבוצה])," ",_xlfn.XLOOKUP(Y11,TeamList[מס"ד],TeamList[שם הקבוצה])),"")</f>
        <v>1099 אפרתה</v>
      </c>
    </row>
    <row r="19" spans="1:37" s="4" customFormat="1" ht="14.4" customHeight="1" thickBot="1" x14ac:dyDescent="0.8">
      <c r="A19" s="35">
        <v>1</v>
      </c>
      <c r="B19" s="1">
        <f t="shared" ref="B19:B29" si="6">B18+1</f>
        <v>26</v>
      </c>
      <c r="C19" s="34">
        <f t="shared" si="5"/>
        <v>0.51736111111111105</v>
      </c>
      <c r="D19" s="34">
        <f>HRGame2Table[[#This Row],[התחלה]]+TIME(0,3,0)</f>
        <v>0.51944444444444438</v>
      </c>
      <c r="E19" s="41" t="str">
        <f ca="1">IFERROR(INDEX(OFFSET('תכנית לפי קבוצות'!$C$120,$A19*4,0,4,4),MATCH(E$1,OFFSET('תכנית לפי קבוצות'!$F$120,$A19*4,0,4,1),0),1),"")</f>
        <v/>
      </c>
      <c r="F19" s="41" t="str">
        <f ca="1">IFERROR(INDEX(OFFSET('תכנית לפי קבוצות'!$C$120,$A19*4,0,4,4),MATCH(F$1,OFFSET('תכנית לפי קבוצות'!$F$120,$A19*4,0,4,1),0),1),"")</f>
        <v/>
      </c>
      <c r="G19" s="41" t="str">
        <f ca="1">IFERROR(INDEX(OFFSET('תכנית לפי קבוצות'!$C$120,$A19*4,0,4,4),MATCH(G$1,OFFSET('תכנית לפי קבוצות'!$F$120,$A19*4,0,4,1),0),1),"")</f>
        <v/>
      </c>
      <c r="H19" s="41" t="str">
        <f ca="1">IFERROR(INDEX(OFFSET('תכנית לפי קבוצות'!$C$120,$A19*4,0,4,4),MATCH(H$1,OFFSET('תכנית לפי קבוצות'!$F$120,$A19*4,0,4,1),0),1),"")</f>
        <v/>
      </c>
      <c r="I19" s="41">
        <f ca="1">IFERROR(INDEX(OFFSET('תכנית לפי קבוצות'!$C$120,$A19*4,0,4,4),MATCH(I$1,OFFSET('תכנית לפי קבוצות'!$F$120,$A19*4,0,4,1),0),1),"")</f>
        <v>11</v>
      </c>
      <c r="J19" s="41">
        <f ca="1">IFERROR(INDEX(OFFSET('תכנית לפי קבוצות'!$C$120,$A19*4,0,4,4),MATCH(J$1,OFFSET('תכנית לפי קבוצות'!$F$120,$A19*4,0,4,1),0),1),"")</f>
        <v>8</v>
      </c>
      <c r="K19" s="41">
        <f ca="1">IFERROR(INDEX(OFFSET('תכנית לפי קבוצות'!$C$120,$A19*4,0,4,4),MATCH(K$1,OFFSET('תכנית לפי קבוצות'!$F$120,$A19*4,0,4,1),0),1),"")</f>
        <v>5</v>
      </c>
      <c r="L19" s="41">
        <f ca="1">IFERROR(INDEX(OFFSET('תכנית לפי קבוצות'!$C$120,$A19*4,0,4,4),MATCH(L$1,OFFSET('תכנית לפי קבוצות'!$F$120,$A19*4,0,4,1),0),1),"")</f>
        <v>2</v>
      </c>
      <c r="M19" s="1"/>
      <c r="N19" s="1"/>
      <c r="P19" s="5"/>
      <c r="Q19" s="5"/>
      <c r="AA19" s="236"/>
      <c r="AB19" s="238"/>
      <c r="AC19" s="238"/>
      <c r="AD19" s="86" t="str">
        <f ca="1">IFERROR(_xlfn.XLOOKUP(R11,TeamList[מס"ד],TeamList[ישוב]),"")</f>
        <v/>
      </c>
      <c r="AE19" s="86" t="str">
        <f ca="1">IFERROR(_xlfn.XLOOKUP(S11,TeamList[מס"ד],TeamList[ישוב]),"")</f>
        <v/>
      </c>
      <c r="AF19" s="86" t="str">
        <f ca="1">IFERROR(_xlfn.XLOOKUP(T11,TeamList[מס"ד],TeamList[ישוב]),"")</f>
        <v/>
      </c>
      <c r="AG19" s="86" t="str">
        <f ca="1">IFERROR(_xlfn.XLOOKUP(U11,TeamList[מס"ד],TeamList[ישוב]),"")</f>
        <v/>
      </c>
      <c r="AH19" s="86" t="str">
        <f ca="1">IFERROR(_xlfn.XLOOKUP(V11,TeamList[מס"ד],TeamList[ישוב]),"")</f>
        <v>בני ברק</v>
      </c>
      <c r="AI19" s="86" t="str">
        <f ca="1">IFERROR(_xlfn.XLOOKUP(W11,TeamList[מס"ד],TeamList[ישוב]),"")</f>
        <v>ירושלים</v>
      </c>
      <c r="AJ19" s="86" t="str">
        <f ca="1">IFERROR(_xlfn.XLOOKUP(X11,TeamList[מס"ד],TeamList[ישוב]),"")</f>
        <v>נצרת</v>
      </c>
      <c r="AK19" s="87" t="str">
        <f ca="1">IFERROR(_xlfn.XLOOKUP(Y11,TeamList[מס"ד],TeamList[ישוב]),"")</f>
        <v>ירושלים</v>
      </c>
    </row>
    <row r="20" spans="1:37" s="4" customFormat="1" ht="14.4" customHeight="1" x14ac:dyDescent="0.65">
      <c r="A20" s="35">
        <v>2</v>
      </c>
      <c r="B20" s="1">
        <f t="shared" si="6"/>
        <v>27</v>
      </c>
      <c r="C20" s="34">
        <f t="shared" si="5"/>
        <v>0.52083333333333326</v>
      </c>
      <c r="D20" s="34">
        <f>HRGame2Table[[#This Row],[התחלה]]+TIME(0,3,0)</f>
        <v>0.52291666666666659</v>
      </c>
      <c r="E20" s="41">
        <f ca="1">IFERROR(INDEX(OFFSET('תכנית לפי קבוצות'!$C$120,$A20*4,0,4,4),MATCH(E$1,OFFSET('תכנית לפי קבוצות'!$F$120,$A20*4,0,4,1),0),1),"")</f>
        <v>12</v>
      </c>
      <c r="F20" s="41">
        <f ca="1">IFERROR(INDEX(OFFSET('תכנית לפי קבוצות'!$C$120,$A20*4,0,4,4),MATCH(F$1,OFFSET('תכנית לפי קבוצות'!$F$120,$A20*4,0,4,1),0),1),"")</f>
        <v>9</v>
      </c>
      <c r="G20" s="41">
        <f ca="1">IFERROR(INDEX(OFFSET('תכנית לפי קבוצות'!$C$120,$A20*4,0,4,4),MATCH(G$1,OFFSET('תכנית לפי קבוצות'!$F$120,$A20*4,0,4,1),0),1),"")</f>
        <v>6</v>
      </c>
      <c r="H20" s="41">
        <f ca="1">IFERROR(INDEX(OFFSET('תכנית לפי קבוצות'!$C$120,$A20*4,0,4,4),MATCH(H$1,OFFSET('תכנית לפי קבוצות'!$F$120,$A20*4,0,4,1),0),1),"")</f>
        <v>3</v>
      </c>
      <c r="I20" s="41" t="str">
        <f ca="1">IFERROR(INDEX(OFFSET('תכנית לפי קבוצות'!$C$120,$A20*4,0,4,4),MATCH(I$1,OFFSET('תכנית לפי קבוצות'!$F$120,$A20*4,0,4,1),0),1),"")</f>
        <v/>
      </c>
      <c r="J20" s="41" t="str">
        <f ca="1">IFERROR(INDEX(OFFSET('תכנית לפי קבוצות'!$C$120,$A20*4,0,4,4),MATCH(J$1,OFFSET('תכנית לפי קבוצות'!$F$120,$A20*4,0,4,1),0),1),"")</f>
        <v/>
      </c>
      <c r="K20" s="41" t="str">
        <f ca="1">IFERROR(INDEX(OFFSET('תכנית לפי קבוצות'!$C$120,$A20*4,0,4,4),MATCH(K$1,OFFSET('תכנית לפי קבוצות'!$F$120,$A20*4,0,4,1),0),1),"")</f>
        <v/>
      </c>
      <c r="L20" s="41" t="str">
        <f ca="1">IFERROR(INDEX(OFFSET('תכנית לפי קבוצות'!$C$120,$A20*4,0,4,4),MATCH(L$1,OFFSET('תכנית לפי קבוצות'!$F$120,$A20*4,0,4,1),0),1),"")</f>
        <v/>
      </c>
      <c r="M20" s="1"/>
      <c r="N20" s="1"/>
      <c r="P20" s="5"/>
      <c r="Q20" s="5"/>
      <c r="AA20" s="231">
        <v>9</v>
      </c>
      <c r="AB20" s="233">
        <f>AB18+PM</f>
        <v>0.39791666666666653</v>
      </c>
      <c r="AC20" s="233">
        <f>AB20+TIME(0,3,0)</f>
        <v>0.39999999999999986</v>
      </c>
      <c r="AD20" s="23" t="str">
        <f ca="1">IFERROR(CONCATENATE(_xlfn.XLOOKUP(R12,TeamList[מס"ד],TeamList[מס'' הקבוצה])," ",_xlfn.XLOOKUP(R12,TeamList[מס"ד],TeamList[שם הקבוצה])),"")</f>
        <v>3163 מקיף</v>
      </c>
      <c r="AE20" s="23" t="str">
        <f ca="1">IFERROR(CONCATENATE(_xlfn.XLOOKUP(S12,TeamList[מס"ד],TeamList[מס'' הקבוצה])," ",_xlfn.XLOOKUP(S12,TeamList[מס"ד],TeamList[שם הקבוצה])),"")</f>
        <v>3243 לאה גולדברג</v>
      </c>
      <c r="AF20" s="23" t="str">
        <f ca="1">IFERROR(CONCATENATE(_xlfn.XLOOKUP(T12,TeamList[מס"ד],TeamList[מס'' הקבוצה])," ",_xlfn.XLOOKUP(T12,TeamList[מס"ד],TeamList[שם הקבוצה])),"")</f>
        <v>3294 שלנו</v>
      </c>
      <c r="AG20" s="23" t="str">
        <f ca="1">IFERROR(CONCATENATE(_xlfn.XLOOKUP(U12,TeamList[מס"ד],TeamList[מס'' הקבוצה])," ",_xlfn.XLOOKUP(U12,TeamList[מס"ד],TeamList[שם הקבוצה])),"")</f>
        <v xml:space="preserve">3006 כוכב </v>
      </c>
      <c r="AH20" s="23" t="str">
        <f ca="1">IFERROR(CONCATENATE(_xlfn.XLOOKUP(V12,TeamList[מס"ד],TeamList[מס'' הקבוצה])," ",_xlfn.XLOOKUP(V12,TeamList[מס"ד],TeamList[שם הקבוצה])),"")</f>
        <v/>
      </c>
      <c r="AI20" s="23" t="str">
        <f ca="1">IFERROR(CONCATENATE(_xlfn.XLOOKUP(W12,TeamList[מס"ד],TeamList[מס'' הקבוצה])," ",_xlfn.XLOOKUP(W12,TeamList[מס"ד],TeamList[שם הקבוצה])),"")</f>
        <v/>
      </c>
      <c r="AJ20" s="23" t="str">
        <f ca="1">IFERROR(CONCATENATE(_xlfn.XLOOKUP(X12,TeamList[מס"ד],TeamList[מס'' הקבוצה])," ",_xlfn.XLOOKUP(X12,TeamList[מס"ד],TeamList[שם הקבוצה])),"")</f>
        <v/>
      </c>
      <c r="AK20" s="73" t="str">
        <f ca="1">IFERROR(CONCATENATE(_xlfn.XLOOKUP(Y12,TeamList[מס"ד],TeamList[מס'' הקבוצה])," ",_xlfn.XLOOKUP(Y12,TeamList[מס"ד],TeamList[שם הקבוצה])),"")</f>
        <v/>
      </c>
    </row>
    <row r="21" spans="1:37" s="4" customFormat="1" ht="14.4" customHeight="1" thickBot="1" x14ac:dyDescent="0.8">
      <c r="A21" s="35">
        <v>3</v>
      </c>
      <c r="B21" s="1">
        <f t="shared" si="6"/>
        <v>28</v>
      </c>
      <c r="C21" s="34">
        <f t="shared" si="5"/>
        <v>0.52430555555555547</v>
      </c>
      <c r="D21" s="34">
        <f>HRGame2Table[[#This Row],[התחלה]]+TIME(0,3,0)</f>
        <v>0.5263888888888888</v>
      </c>
      <c r="E21" s="41" t="str">
        <f ca="1">IFERROR(INDEX(OFFSET('תכנית לפי קבוצות'!$C$120,$A21*4,0,4,4),MATCH(E$1,OFFSET('תכנית לפי קבוצות'!$F$120,$A21*4,0,4,1),0),1),"")</f>
        <v/>
      </c>
      <c r="F21" s="41" t="str">
        <f ca="1">IFERROR(INDEX(OFFSET('תכנית לפי קבוצות'!$C$120,$A21*4,0,4,4),MATCH(F$1,OFFSET('תכנית לפי קבוצות'!$F$120,$A21*4,0,4,1),0),1),"")</f>
        <v/>
      </c>
      <c r="G21" s="41" t="str">
        <f ca="1">IFERROR(INDEX(OFFSET('תכנית לפי קבוצות'!$C$120,$A21*4,0,4,4),MATCH(G$1,OFFSET('תכנית לפי קבוצות'!$F$120,$A21*4,0,4,1),0),1),"")</f>
        <v/>
      </c>
      <c r="H21" s="41" t="str">
        <f ca="1">IFERROR(INDEX(OFFSET('תכנית לפי קבוצות'!$C$120,$A21*4,0,4,4),MATCH(H$1,OFFSET('תכנית לפי קבוצות'!$F$120,$A21*4,0,4,1),0),1),"")</f>
        <v/>
      </c>
      <c r="I21" s="41">
        <f ca="1">IFERROR(INDEX(OFFSET('תכנית לפי קבוצות'!$C$120,$A21*4,0,4,4),MATCH(I$1,OFFSET('תכנית לפי קבוצות'!$F$120,$A21*4,0,4,1),0),1),"")</f>
        <v>22</v>
      </c>
      <c r="J21" s="41">
        <f ca="1">IFERROR(INDEX(OFFSET('תכנית לפי קבוצות'!$C$120,$A21*4,0,4,4),MATCH(J$1,OFFSET('תכנית לפי קבוצות'!$F$120,$A21*4,0,4,1),0),1),"")</f>
        <v>19</v>
      </c>
      <c r="K21" s="41">
        <f ca="1">IFERROR(INDEX(OFFSET('תכנית לפי קבוצות'!$C$120,$A21*4,0,4,4),MATCH(K$1,OFFSET('תכנית לפי קבוצות'!$F$120,$A21*4,0,4,1),0),1),"")</f>
        <v>16</v>
      </c>
      <c r="L21" s="41">
        <f ca="1">IFERROR(INDEX(OFFSET('תכנית לפי קבוצות'!$C$120,$A21*4,0,4,4),MATCH(L$1,OFFSET('תכנית לפי קבוצות'!$F$120,$A21*4,0,4,1),0),1),"")</f>
        <v>13</v>
      </c>
      <c r="M21" s="1"/>
      <c r="N21" s="1"/>
      <c r="P21" s="5"/>
      <c r="Q21" s="1"/>
      <c r="AA21" s="232"/>
      <c r="AB21" s="234"/>
      <c r="AC21" s="234"/>
      <c r="AD21" s="84" t="str">
        <f ca="1">IFERROR(_xlfn.XLOOKUP(R12,TeamList[מס"ד],TeamList[ישוב]),"")</f>
        <v>אעבלין</v>
      </c>
      <c r="AE21" s="84" t="str">
        <f ca="1">IFERROR(_xlfn.XLOOKUP(S12,TeamList[מס"ד],TeamList[ישוב]),"")</f>
        <v>נתניה</v>
      </c>
      <c r="AF21" s="84" t="str">
        <f ca="1">IFERROR(_xlfn.XLOOKUP(T12,TeamList[מס"ד],TeamList[ישוב]),"")</f>
        <v>תל מונד</v>
      </c>
      <c r="AG21" s="84" t="str">
        <f ca="1">IFERROR(_xlfn.XLOOKUP(U12,TeamList[מס"ד],TeamList[ישוב]),"")</f>
        <v>כאוכב אבו אל-היג'א</v>
      </c>
      <c r="AH21" s="84" t="str">
        <f ca="1">IFERROR(_xlfn.XLOOKUP(V12,TeamList[מס"ד],TeamList[ישוב]),"")</f>
        <v/>
      </c>
      <c r="AI21" s="84" t="str">
        <f ca="1">IFERROR(_xlfn.XLOOKUP(W12,TeamList[מס"ד],TeamList[ישוב]),"")</f>
        <v/>
      </c>
      <c r="AJ21" s="84" t="str">
        <f ca="1">IFERROR(_xlfn.XLOOKUP(X12,TeamList[מס"ד],TeamList[ישוב]),"")</f>
        <v/>
      </c>
      <c r="AK21" s="85" t="str">
        <f ca="1">IFERROR(_xlfn.XLOOKUP(Y12,TeamList[מס"ד],TeamList[ישוב]),"")</f>
        <v/>
      </c>
    </row>
    <row r="22" spans="1:37" s="4" customFormat="1" ht="14.4" customHeight="1" x14ac:dyDescent="0.65">
      <c r="A22" s="35">
        <v>4</v>
      </c>
      <c r="B22" s="1">
        <f t="shared" si="6"/>
        <v>29</v>
      </c>
      <c r="C22" s="34">
        <f t="shared" si="5"/>
        <v>0.52777777777777768</v>
      </c>
      <c r="D22" s="34">
        <f>HRGame2Table[[#This Row],[התחלה]]+TIME(0,3,0)</f>
        <v>0.52986111111111101</v>
      </c>
      <c r="E22" s="41">
        <f ca="1">IFERROR(INDEX(OFFSET('תכנית לפי קבוצות'!$C$120,$A22*4,0,4,4),MATCH(E$1,OFFSET('תכנית לפי קבוצות'!$F$120,$A22*4,0,4,1),0),1),"")</f>
        <v>23</v>
      </c>
      <c r="F22" s="41">
        <f ca="1">IFERROR(INDEX(OFFSET('תכנית לפי קבוצות'!$C$120,$A22*4,0,4,4),MATCH(F$1,OFFSET('תכנית לפי קבוצות'!$F$120,$A22*4,0,4,1),0),1),"")</f>
        <v>20</v>
      </c>
      <c r="G22" s="41">
        <f ca="1">IFERROR(INDEX(OFFSET('תכנית לפי קבוצות'!$C$120,$A22*4,0,4,4),MATCH(G$1,OFFSET('תכנית לפי קבוצות'!$F$120,$A22*4,0,4,1),0),1),"")</f>
        <v>17</v>
      </c>
      <c r="H22" s="41">
        <f ca="1">IFERROR(INDEX(OFFSET('תכנית לפי קבוצות'!$C$120,$A22*4,0,4,4),MATCH(H$1,OFFSET('תכנית לפי קבוצות'!$F$120,$A22*4,0,4,1),0),1),"")</f>
        <v>14</v>
      </c>
      <c r="I22" s="41" t="str">
        <f ca="1">IFERROR(INDEX(OFFSET('תכנית לפי קבוצות'!$C$120,$A22*4,0,4,4),MATCH(I$1,OFFSET('תכנית לפי קבוצות'!$F$120,$A22*4,0,4,1),0),1),"")</f>
        <v/>
      </c>
      <c r="J22" s="41" t="str">
        <f ca="1">IFERROR(INDEX(OFFSET('תכנית לפי קבוצות'!$C$120,$A22*4,0,4,4),MATCH(J$1,OFFSET('תכנית לפי קבוצות'!$F$120,$A22*4,0,4,1),0),1),"")</f>
        <v/>
      </c>
      <c r="K22" s="41" t="str">
        <f ca="1">IFERROR(INDEX(OFFSET('תכנית לפי קבוצות'!$C$120,$A22*4,0,4,4),MATCH(K$1,OFFSET('תכנית לפי קבוצות'!$F$120,$A22*4,0,4,1),0),1),"")</f>
        <v/>
      </c>
      <c r="L22" s="41" t="str">
        <f ca="1">IFERROR(INDEX(OFFSET('תכנית לפי קבוצות'!$C$120,$A22*4,0,4,4),MATCH(L$1,OFFSET('תכנית לפי קבוצות'!$F$120,$A22*4,0,4,1),0),1),"")</f>
        <v/>
      </c>
      <c r="M22" s="1"/>
      <c r="N22" s="1"/>
      <c r="P22" s="5"/>
      <c r="Q22" s="5"/>
      <c r="AA22" s="235">
        <v>10</v>
      </c>
      <c r="AB22" s="237">
        <f>AB20+PM</f>
        <v>0.40208333333333318</v>
      </c>
      <c r="AC22" s="237">
        <f>AB22+TIME(0,3,0)</f>
        <v>0.40416666666666651</v>
      </c>
      <c r="AD22" s="24" t="str">
        <f ca="1">IFERROR(CONCATENATE(_xlfn.XLOOKUP(R13,TeamList[מס"ד],TeamList[מס'' הקבוצה])," ",_xlfn.XLOOKUP(R13,TeamList[מס"ד],TeamList[שם הקבוצה])),"")</f>
        <v/>
      </c>
      <c r="AE22" s="24" t="str">
        <f ca="1">IFERROR(CONCATENATE(_xlfn.XLOOKUP(S13,TeamList[מס"ד],TeamList[מס'' הקבוצה])," ",_xlfn.XLOOKUP(S13,TeamList[מס"ד],TeamList[שם הקבוצה])),"")</f>
        <v/>
      </c>
      <c r="AF22" s="24" t="str">
        <f ca="1">IFERROR(CONCATENATE(_xlfn.XLOOKUP(T13,TeamList[מס"ד],TeamList[מס'' הקבוצה])," ",_xlfn.XLOOKUP(T13,TeamList[מס"ד],TeamList[שם הקבוצה])),"")</f>
        <v/>
      </c>
      <c r="AG22" s="24" t="str">
        <f ca="1">IFERROR(CONCATENATE(_xlfn.XLOOKUP(U13,TeamList[מס"ד],TeamList[מס'' הקבוצה])," ",_xlfn.XLOOKUP(U13,TeamList[מס"ד],TeamList[שם הקבוצה])),"")</f>
        <v/>
      </c>
      <c r="AH22" s="24" t="str">
        <f ca="1">IFERROR(CONCATENATE(_xlfn.XLOOKUP(V13,TeamList[מס"ד],TeamList[מס'' הקבוצה])," ",_xlfn.XLOOKUP(V13,TeamList[מס"ד],TeamList[שם הקבוצה])),"")</f>
        <v>3180 פלך בנים</v>
      </c>
      <c r="AI22" s="24" t="str">
        <f ca="1">IFERROR(CONCATENATE(_xlfn.XLOOKUP(W13,TeamList[מס"ד],TeamList[מס'' הקבוצה])," ",_xlfn.XLOOKUP(W13,TeamList[מס"ד],TeamList[שם הקבוצה])),"")</f>
        <v xml:space="preserve">2954 עתידים </v>
      </c>
      <c r="AJ22" s="24" t="str">
        <f ca="1">IFERROR(CONCATENATE(_xlfn.XLOOKUP(X13,TeamList[מס"ד],TeamList[מס'' הקבוצה])," ",_xlfn.XLOOKUP(X13,TeamList[מס"ד],TeamList[שם הקבוצה])),"")</f>
        <v>3184 תיכון דרך</v>
      </c>
      <c r="AK22" s="72" t="str">
        <f ca="1">IFERROR(CONCATENATE(_xlfn.XLOOKUP(Y13,TeamList[מס"ד],TeamList[מס'' הקבוצה])," ",_xlfn.XLOOKUP(Y13,TeamList[מס"ד],TeamList[שם הקבוצה])),"")</f>
        <v xml:space="preserve">2130 צודות </v>
      </c>
    </row>
    <row r="23" spans="1:37" s="4" customFormat="1" ht="14.4" customHeight="1" thickBot="1" x14ac:dyDescent="0.8">
      <c r="A23" s="35">
        <v>5</v>
      </c>
      <c r="B23" s="1">
        <f t="shared" si="6"/>
        <v>30</v>
      </c>
      <c r="C23" s="34">
        <f t="shared" si="5"/>
        <v>0.53125</v>
      </c>
      <c r="D23" s="34">
        <f>HRGame2Table[[#This Row],[התחלה]]+TIME(0,3,0)</f>
        <v>0.53333333333333333</v>
      </c>
      <c r="E23" s="41" t="str">
        <f ca="1">IFERROR(INDEX(OFFSET('תכנית לפי קבוצות'!$C$120,$A23*4,0,4,4),MATCH(E$1,OFFSET('תכנית לפי קבוצות'!$F$120,$A23*4,0,4,1),0),1),"")</f>
        <v/>
      </c>
      <c r="F23" s="41" t="str">
        <f ca="1">IFERROR(INDEX(OFFSET('תכנית לפי קבוצות'!$C$120,$A23*4,0,4,4),MATCH(F$1,OFFSET('תכנית לפי קבוצות'!$F$120,$A23*4,0,4,1),0),1),"")</f>
        <v/>
      </c>
      <c r="G23" s="41" t="str">
        <f ca="1">IFERROR(INDEX(OFFSET('תכנית לפי קבוצות'!$C$120,$A23*4,0,4,4),MATCH(G$1,OFFSET('תכנית לפי קבוצות'!$F$120,$A23*4,0,4,1),0),1),"")</f>
        <v/>
      </c>
      <c r="H23" s="41" t="str">
        <f ca="1">IFERROR(INDEX(OFFSET('תכנית לפי קבוצות'!$C$120,$A23*4,0,4,4),MATCH(H$1,OFFSET('תכנית לפי קבוצות'!$F$120,$A23*4,0,4,1),0),1),"")</f>
        <v/>
      </c>
      <c r="I23" s="41">
        <f ca="1">IFERROR(INDEX(OFFSET('תכנית לפי קבוצות'!$C$120,$A23*4,0,4,4),MATCH(I$1,OFFSET('תכנית לפי קבוצות'!$F$120,$A23*4,0,4,1),0),1),"")</f>
        <v>24</v>
      </c>
      <c r="J23" s="41">
        <f ca="1">IFERROR(INDEX(OFFSET('תכנית לפי קבוצות'!$C$120,$A23*4,0,4,4),MATCH(J$1,OFFSET('תכנית לפי קבוצות'!$F$120,$A23*4,0,4,1),0),1),"")</f>
        <v>21</v>
      </c>
      <c r="K23" s="41">
        <f ca="1">IFERROR(INDEX(OFFSET('תכנית לפי קבוצות'!$C$120,$A23*4,0,4,4),MATCH(K$1,OFFSET('תכנית לפי קבוצות'!$F$120,$A23*4,0,4,1),0),1),"")</f>
        <v>18</v>
      </c>
      <c r="L23" s="41">
        <f ca="1">IFERROR(INDEX(OFFSET('תכנית לפי קבוצות'!$C$120,$A23*4,0,4,4),MATCH(L$1,OFFSET('תכנית לפי קבוצות'!$F$120,$A23*4,0,4,1),0),1),"")</f>
        <v>15</v>
      </c>
      <c r="M23" s="1"/>
      <c r="N23" s="1"/>
      <c r="P23" s="5"/>
      <c r="Q23" s="5"/>
      <c r="AA23" s="236"/>
      <c r="AB23" s="238"/>
      <c r="AC23" s="238"/>
      <c r="AD23" s="86" t="str">
        <f ca="1">IFERROR(_xlfn.XLOOKUP(R13,TeamList[מס"ד],TeamList[ישוב]),"")</f>
        <v/>
      </c>
      <c r="AE23" s="86" t="str">
        <f ca="1">IFERROR(_xlfn.XLOOKUP(S13,TeamList[מס"ד],TeamList[ישוב]),"")</f>
        <v/>
      </c>
      <c r="AF23" s="86" t="str">
        <f ca="1">IFERROR(_xlfn.XLOOKUP(T13,TeamList[מס"ד],TeamList[ישוב]),"")</f>
        <v/>
      </c>
      <c r="AG23" s="86" t="str">
        <f ca="1">IFERROR(_xlfn.XLOOKUP(U13,TeamList[מס"ד],TeamList[ישוב]),"")</f>
        <v/>
      </c>
      <c r="AH23" s="86" t="str">
        <f ca="1">IFERROR(_xlfn.XLOOKUP(V13,TeamList[מס"ד],TeamList[ישוב]),"")</f>
        <v>ירושלים</v>
      </c>
      <c r="AI23" s="86" t="str">
        <f ca="1">IFERROR(_xlfn.XLOOKUP(W13,TeamList[מס"ד],TeamList[ישוב]),"")</f>
        <v>חולון</v>
      </c>
      <c r="AJ23" s="86" t="str">
        <f ca="1">IFERROR(_xlfn.XLOOKUP(X13,TeamList[מס"ד],TeamList[ישוב]),"")</f>
        <v>ירושלים</v>
      </c>
      <c r="AK23" s="87" t="str">
        <f ca="1">IFERROR(_xlfn.XLOOKUP(Y13,TeamList[מס"ד],TeamList[ישוב]),"")</f>
        <v>קרית שמונה</v>
      </c>
    </row>
    <row r="24" spans="1:37" s="4" customFormat="1" ht="14.4" customHeight="1" x14ac:dyDescent="0.65">
      <c r="A24" s="35">
        <v>6</v>
      </c>
      <c r="B24" s="1">
        <f t="shared" si="6"/>
        <v>31</v>
      </c>
      <c r="C24" s="34">
        <f t="shared" si="5"/>
        <v>0.53472222222222221</v>
      </c>
      <c r="D24" s="34">
        <f>HRGame2Table[[#This Row],[התחלה]]+TIME(0,3,0)</f>
        <v>0.53680555555555554</v>
      </c>
      <c r="E24" s="41">
        <f ca="1">IFERROR(INDEX(OFFSET('תכנית לפי קבוצות'!$C$120,$A24*4,0,4,4),MATCH(E$1,OFFSET('תכנית לפי קבוצות'!$F$120,$A24*4,0,4,1),0),1),"")</f>
        <v>45</v>
      </c>
      <c r="F24" s="41">
        <f ca="1">IFERROR(INDEX(OFFSET('תכנית לפי קבוצות'!$C$120,$A24*4,0,4,4),MATCH(F$1,OFFSET('תכנית לפי קבוצות'!$F$120,$A24*4,0,4,1),0),1),"")</f>
        <v>42</v>
      </c>
      <c r="G24" s="41">
        <f ca="1">IFERROR(INDEX(OFFSET('תכנית לפי קבוצות'!$C$120,$A24*4,0,4,4),MATCH(G$1,OFFSET('תכנית לפי קבוצות'!$F$120,$A24*4,0,4,1),0),1),"")</f>
        <v>39</v>
      </c>
      <c r="H24" s="41">
        <f ca="1">IFERROR(INDEX(OFFSET('תכנית לפי קבוצות'!$C$120,$A24*4,0,4,4),MATCH(H$1,OFFSET('תכנית לפי קבוצות'!$F$120,$A24*4,0,4,1),0),1),"")</f>
        <v>36</v>
      </c>
      <c r="I24" s="41" t="str">
        <f ca="1">IFERROR(INDEX(OFFSET('תכנית לפי קבוצות'!$C$120,$A24*4,0,4,4),MATCH(I$1,OFFSET('תכנית לפי קבוצות'!$F$120,$A24*4,0,4,1),0),1),"")</f>
        <v/>
      </c>
      <c r="J24" s="41" t="str">
        <f ca="1">IFERROR(INDEX(OFFSET('תכנית לפי קבוצות'!$C$120,$A24*4,0,4,4),MATCH(J$1,OFFSET('תכנית לפי קבוצות'!$F$120,$A24*4,0,4,1),0),1),"")</f>
        <v/>
      </c>
      <c r="K24" s="41" t="str">
        <f ca="1">IFERROR(INDEX(OFFSET('תכנית לפי קבוצות'!$C$120,$A24*4,0,4,4),MATCH(K$1,OFFSET('תכנית לפי קבוצות'!$F$120,$A24*4,0,4,1),0),1),"")</f>
        <v/>
      </c>
      <c r="L24" s="41" t="str">
        <f ca="1">IFERROR(INDEX(OFFSET('תכנית לפי קבוצות'!$C$120,$A24*4,0,4,4),MATCH(L$1,OFFSET('תכנית לפי קבוצות'!$F$120,$A24*4,0,4,1),0),1),"")</f>
        <v/>
      </c>
      <c r="M24" s="1"/>
      <c r="N24" s="1"/>
      <c r="P24" s="5"/>
      <c r="Q24" s="5"/>
      <c r="AA24" s="231">
        <v>11</v>
      </c>
      <c r="AB24" s="233">
        <f>AB22+PM</f>
        <v>0.40624999999999983</v>
      </c>
      <c r="AC24" s="233">
        <f>AB24+TIME(0,3,0)</f>
        <v>0.40833333333333316</v>
      </c>
      <c r="AD24" s="23" t="str">
        <f ca="1">IFERROR(CONCATENATE(_xlfn.XLOOKUP(R14,TeamList[מס"ד],TeamList[מס'' הקבוצה])," ",_xlfn.XLOOKUP(R14,TeamList[מס"ד],TeamList[שם הקבוצה])),"")</f>
        <v>1042 כרמים</v>
      </c>
      <c r="AE24" s="23" t="str">
        <f ca="1">IFERROR(CONCATENATE(_xlfn.XLOOKUP(S14,TeamList[מס"ד],TeamList[מס'' הקבוצה])," ",_xlfn.XLOOKUP(S14,TeamList[מס"ד],TeamList[שם הקבוצה])),"")</f>
        <v>2623 גינסבורג</v>
      </c>
      <c r="AF24" s="23" t="str">
        <f ca="1">IFERROR(CONCATENATE(_xlfn.XLOOKUP(T14,TeamList[מס"ד],TeamList[מס'' הקבוצה])," ",_xlfn.XLOOKUP(T14,TeamList[מס"ד],TeamList[שם הקבוצה])),"")</f>
        <v xml:space="preserve">2748 מקיף כוכב </v>
      </c>
      <c r="AG24" s="23" t="str">
        <f ca="1">IFERROR(CONCATENATE(_xlfn.XLOOKUP(U14,TeamList[מס"ד],TeamList[מס'' הקבוצה])," ",_xlfn.XLOOKUP(U14,TeamList[מס"ד],TeamList[שם הקבוצה])),"")</f>
        <v xml:space="preserve">2843 בארי </v>
      </c>
      <c r="AH24" s="23" t="str">
        <f ca="1">IFERROR(CONCATENATE(_xlfn.XLOOKUP(V14,TeamList[מס"ד],TeamList[מס'' הקבוצה])," ",_xlfn.XLOOKUP(V14,TeamList[מס"ד],TeamList[שם הקבוצה])),"")</f>
        <v/>
      </c>
      <c r="AI24" s="23" t="str">
        <f ca="1">IFERROR(CONCATENATE(_xlfn.XLOOKUP(W14,TeamList[מס"ד],TeamList[מס'' הקבוצה])," ",_xlfn.XLOOKUP(W14,TeamList[מס"ד],TeamList[שם הקבוצה])),"")</f>
        <v/>
      </c>
      <c r="AJ24" s="23" t="str">
        <f ca="1">IFERROR(CONCATENATE(_xlfn.XLOOKUP(X14,TeamList[מס"ד],TeamList[מס'' הקבוצה])," ",_xlfn.XLOOKUP(X14,TeamList[מס"ד],TeamList[שם הקבוצה])),"")</f>
        <v/>
      </c>
      <c r="AK24" s="73" t="str">
        <f ca="1">IFERROR(CONCATENATE(_xlfn.XLOOKUP(Y14,TeamList[מס"ד],TeamList[מס'' הקבוצה])," ",_xlfn.XLOOKUP(Y14,TeamList[מס"ד],TeamList[שם הקבוצה])),"")</f>
        <v/>
      </c>
    </row>
    <row r="25" spans="1:37" s="4" customFormat="1" ht="13.2" customHeight="1" thickBot="1" x14ac:dyDescent="0.8">
      <c r="A25" s="35">
        <v>7</v>
      </c>
      <c r="B25" s="1">
        <f t="shared" si="6"/>
        <v>32</v>
      </c>
      <c r="C25" s="34">
        <f t="shared" si="5"/>
        <v>0.53819444444444442</v>
      </c>
      <c r="D25" s="34">
        <f>HRGame2Table[[#This Row],[התחלה]]+TIME(0,3,0)</f>
        <v>0.54027777777777775</v>
      </c>
      <c r="E25" s="41" t="str">
        <f ca="1">IFERROR(INDEX(OFFSET('תכנית לפי קבוצות'!$C$120,$A25*4,0,4,4),MATCH(E$1,OFFSET('תכנית לפי קבוצות'!$F$120,$A25*4,0,4,1),0),1),"")</f>
        <v/>
      </c>
      <c r="F25" s="41" t="str">
        <f ca="1">IFERROR(INDEX(OFFSET('תכנית לפי קבוצות'!$C$120,$A25*4,0,4,4),MATCH(F$1,OFFSET('תכנית לפי קבוצות'!$F$120,$A25*4,0,4,1),0),1),"")</f>
        <v/>
      </c>
      <c r="G25" s="41" t="str">
        <f ca="1">IFERROR(INDEX(OFFSET('תכנית לפי קבוצות'!$C$120,$A25*4,0,4,4),MATCH(G$1,OFFSET('תכנית לפי קבוצות'!$F$120,$A25*4,0,4,1),0),1),"")</f>
        <v/>
      </c>
      <c r="H25" s="41" t="str">
        <f ca="1">IFERROR(INDEX(OFFSET('תכנית לפי קבוצות'!$C$120,$A25*4,0,4,4),MATCH(H$1,OFFSET('תכנית לפי קבוצות'!$F$120,$A25*4,0,4,1),0),1),"")</f>
        <v/>
      </c>
      <c r="I25" s="41">
        <f ca="1">IFERROR(INDEX(OFFSET('תכנית לפי קבוצות'!$C$120,$A25*4,0,4,4),MATCH(I$1,OFFSET('תכנית לפי קבוצות'!$F$120,$A25*4,0,4,1),0),1),"")</f>
        <v>46</v>
      </c>
      <c r="J25" s="41">
        <f ca="1">IFERROR(INDEX(OFFSET('תכנית לפי קבוצות'!$C$120,$A25*4,0,4,4),MATCH(J$1,OFFSET('תכנית לפי קבוצות'!$F$120,$A25*4,0,4,1),0),1),"")</f>
        <v>43</v>
      </c>
      <c r="K25" s="41">
        <f ca="1">IFERROR(INDEX(OFFSET('תכנית לפי קבוצות'!$C$120,$A25*4,0,4,4),MATCH(K$1,OFFSET('תכנית לפי קבוצות'!$F$120,$A25*4,0,4,1),0),1),"")</f>
        <v>40</v>
      </c>
      <c r="L25" s="41">
        <f ca="1">IFERROR(INDEX(OFFSET('תכנית לפי קבוצות'!$C$120,$A25*4,0,4,4),MATCH(L$1,OFFSET('תכנית לפי קבוצות'!$F$120,$A25*4,0,4,1),0),1),"")</f>
        <v>37</v>
      </c>
      <c r="M25" s="1"/>
      <c r="N25" s="1"/>
      <c r="P25" s="5"/>
      <c r="Q25" s="5"/>
      <c r="AA25" s="232"/>
      <c r="AB25" s="234"/>
      <c r="AC25" s="234"/>
      <c r="AD25" s="84" t="str">
        <f ca="1">IFERROR(_xlfn.XLOOKUP(R14,TeamList[מס"ד],TeamList[ישוב]),"")</f>
        <v>בנימינה-גבעת עדה</v>
      </c>
      <c r="AE25" s="84" t="str">
        <f ca="1">IFERROR(_xlfn.XLOOKUP(S14,TeamList[מס"ד],TeamList[ישוב]),"")</f>
        <v>יבנה</v>
      </c>
      <c r="AF25" s="84" t="str">
        <f ca="1">IFERROR(_xlfn.XLOOKUP(T14,TeamList[מס"ד],TeamList[ישוב]),"")</f>
        <v>כאוכב אבו אל-היג'א</v>
      </c>
      <c r="AG25" s="84" t="str">
        <f ca="1">IFERROR(_xlfn.XLOOKUP(U14,TeamList[מס"ד],TeamList[ישוב]),"")</f>
        <v>חיפה</v>
      </c>
      <c r="AH25" s="84" t="str">
        <f ca="1">IFERROR(_xlfn.XLOOKUP(V14,TeamList[מס"ד],TeamList[ישוב]),"")</f>
        <v/>
      </c>
      <c r="AI25" s="84" t="str">
        <f ca="1">IFERROR(_xlfn.XLOOKUP(W14,TeamList[מס"ד],TeamList[ישוב]),"")</f>
        <v/>
      </c>
      <c r="AJ25" s="84" t="str">
        <f ca="1">IFERROR(_xlfn.XLOOKUP(X14,TeamList[מס"ד],TeamList[ישוב]),"")</f>
        <v/>
      </c>
      <c r="AK25" s="85" t="str">
        <f ca="1">IFERROR(_xlfn.XLOOKUP(Y14,TeamList[מס"ד],TeamList[ישוב]),"")</f>
        <v/>
      </c>
    </row>
    <row r="26" spans="1:37" s="4" customFormat="1" ht="13.9" customHeight="1" x14ac:dyDescent="0.65">
      <c r="A26" s="35">
        <v>8</v>
      </c>
      <c r="B26" s="1">
        <f t="shared" si="6"/>
        <v>33</v>
      </c>
      <c r="C26" s="34">
        <f t="shared" si="5"/>
        <v>0.54166666666666663</v>
      </c>
      <c r="D26" s="34">
        <f>HRGame2Table[[#This Row],[התחלה]]+TIME(0,3,0)</f>
        <v>0.54374999999999996</v>
      </c>
      <c r="E26" s="41">
        <f ca="1">IFERROR(INDEX(OFFSET('תכנית לפי קבוצות'!$C$120,$A26*4,0,4,4),MATCH(E$1,OFFSET('תכנית לפי קבוצות'!$F$120,$A26*4,0,4,1),0),1),"")</f>
        <v>47</v>
      </c>
      <c r="F26" s="41">
        <f ca="1">IFERROR(INDEX(OFFSET('תכנית לפי קבוצות'!$C$120,$A26*4,0,4,4),MATCH(F$1,OFFSET('תכנית לפי קבוצות'!$F$120,$A26*4,0,4,1),0),1),"")</f>
        <v>44</v>
      </c>
      <c r="G26" s="41">
        <f ca="1">IFERROR(INDEX(OFFSET('תכנית לפי קבוצות'!$C$120,$A26*4,0,4,4),MATCH(G$1,OFFSET('תכנית לפי קבוצות'!$F$120,$A26*4,0,4,1),0),1),"")</f>
        <v>41</v>
      </c>
      <c r="H26" s="41">
        <f ca="1">IFERROR(INDEX(OFFSET('תכנית לפי קבוצות'!$C$120,$A26*4,0,4,4),MATCH(H$1,OFFSET('תכנית לפי קבוצות'!$F$120,$A26*4,0,4,1),0),1),"")</f>
        <v>38</v>
      </c>
      <c r="I26" s="41" t="str">
        <f ca="1">IFERROR(INDEX(OFFSET('תכנית לפי קבוצות'!$C$120,$A26*4,0,4,4),MATCH(I$1,OFFSET('תכנית לפי קבוצות'!$F$120,$A26*4,0,4,1),0),1),"")</f>
        <v/>
      </c>
      <c r="J26" s="41" t="str">
        <f ca="1">IFERROR(INDEX(OFFSET('תכנית לפי קבוצות'!$C$120,$A26*4,0,4,4),MATCH(J$1,OFFSET('תכנית לפי קבוצות'!$F$120,$A26*4,0,4,1),0),1),"")</f>
        <v/>
      </c>
      <c r="K26" s="41" t="str">
        <f ca="1">IFERROR(INDEX(OFFSET('תכנית לפי קבוצות'!$C$120,$A26*4,0,4,4),MATCH(K$1,OFFSET('תכנית לפי קבוצות'!$F$120,$A26*4,0,4,1),0),1),"")</f>
        <v/>
      </c>
      <c r="L26" s="41" t="str">
        <f ca="1">IFERROR(INDEX(OFFSET('תכנית לפי קבוצות'!$C$120,$A26*4,0,4,4),MATCH(L$1,OFFSET('תכנית לפי קבוצות'!$F$120,$A26*4,0,4,1),0),1),"")</f>
        <v/>
      </c>
      <c r="M26" s="1"/>
      <c r="N26" s="1"/>
      <c r="P26" s="5"/>
      <c r="Q26" s="5"/>
      <c r="AA26" s="235">
        <v>12</v>
      </c>
      <c r="AB26" s="237">
        <f>AB24+PM</f>
        <v>0.41041666666666649</v>
      </c>
      <c r="AC26" s="237">
        <f>AB26+TIME(0,3,0)</f>
        <v>0.41249999999999981</v>
      </c>
      <c r="AD26" s="24" t="str">
        <f ca="1">IFERROR(CONCATENATE(_xlfn.XLOOKUP(R15,TeamList[מס"ד],TeamList[מס'' הקבוצה])," ",_xlfn.XLOOKUP(R15,TeamList[מס"ד],TeamList[שם הקבוצה])),"")</f>
        <v/>
      </c>
      <c r="AE26" s="24" t="str">
        <f ca="1">IFERROR(CONCATENATE(_xlfn.XLOOKUP(S15,TeamList[מס"ד],TeamList[מס'' הקבוצה])," ",_xlfn.XLOOKUP(S15,TeamList[מס"ד],TeamList[שם הקבוצה])),"")</f>
        <v/>
      </c>
      <c r="AF26" s="24" t="str">
        <f ca="1">IFERROR(CONCATENATE(_xlfn.XLOOKUP(T15,TeamList[מס"ד],TeamList[מס'' הקבוצה])," ",_xlfn.XLOOKUP(T15,TeamList[מס"ד],TeamList[שם הקבוצה])),"")</f>
        <v/>
      </c>
      <c r="AG26" s="24" t="str">
        <f ca="1">IFERROR(CONCATENATE(_xlfn.XLOOKUP(U15,TeamList[מס"ד],TeamList[מס'' הקבוצה])," ",_xlfn.XLOOKUP(U15,TeamList[מס"ד],TeamList[שם הקבוצה])),"")</f>
        <v/>
      </c>
      <c r="AH26" s="24" t="str">
        <f ca="1">IFERROR(CONCATENATE(_xlfn.XLOOKUP(V15,TeamList[מס"ד],TeamList[מס'' הקבוצה])," ",_xlfn.XLOOKUP(V15,TeamList[מס"ד],TeamList[שם הקבוצה])),"")</f>
        <v>1825 אילן רמון</v>
      </c>
      <c r="AI26" s="24" t="str">
        <f ca="1">IFERROR(CONCATENATE(_xlfn.XLOOKUP(W15,TeamList[מס"ד],TeamList[מס'' הקבוצה])," ",_xlfn.XLOOKUP(W15,TeamList[מס"ד],TeamList[שם הקבוצה])),"")</f>
        <v xml:space="preserve">2977 הנדסאים </v>
      </c>
      <c r="AJ26" s="24" t="str">
        <f ca="1">IFERROR(CONCATENATE(_xlfn.XLOOKUP(X15,TeamList[מס"ד],TeamList[מס'' הקבוצה])," ",_xlfn.XLOOKUP(X15,TeamList[מס"ד],TeamList[שם הקבוצה])),"")</f>
        <v>1332 אפרתה</v>
      </c>
      <c r="AK26" s="72" t="str">
        <f ca="1">IFERROR(CONCATENATE(_xlfn.XLOOKUP(Y15,TeamList[מס"ד],TeamList[מס'' הקבוצה])," ",_xlfn.XLOOKUP(Y15,TeamList[מס"ד],TeamList[שם הקבוצה])),"")</f>
        <v>1720 אגרון</v>
      </c>
    </row>
    <row r="27" spans="1:37" s="4" customFormat="1" ht="13.9" customHeight="1" thickBot="1" x14ac:dyDescent="0.8">
      <c r="A27" s="35">
        <v>9</v>
      </c>
      <c r="B27" s="1">
        <f t="shared" si="6"/>
        <v>34</v>
      </c>
      <c r="C27" s="34">
        <f t="shared" si="5"/>
        <v>0.54513888888888884</v>
      </c>
      <c r="D27" s="34">
        <f>HRGame2Table[[#This Row],[התחלה]]+TIME(0,3,0)</f>
        <v>0.54722222222222217</v>
      </c>
      <c r="E27" s="41" t="str">
        <f ca="1">IFERROR(INDEX(OFFSET('תכנית לפי קבוצות'!$C$120,$A27*4,0,4,4),MATCH(E$1,OFFSET('תכנית לפי קבוצות'!$F$120,$A27*4,0,4,1),0),1),"")</f>
        <v/>
      </c>
      <c r="F27" s="41" t="str">
        <f ca="1">IFERROR(INDEX(OFFSET('תכנית לפי קבוצות'!$C$120,$A27*4,0,4,4),MATCH(F$1,OFFSET('תכנית לפי קבוצות'!$F$120,$A27*4,0,4,1),0),1),"")</f>
        <v/>
      </c>
      <c r="G27" s="41" t="str">
        <f ca="1">IFERROR(INDEX(OFFSET('תכנית לפי קבוצות'!$C$120,$A27*4,0,4,4),MATCH(G$1,OFFSET('תכנית לפי קבוצות'!$F$120,$A27*4,0,4,1),0),1),"")</f>
        <v/>
      </c>
      <c r="H27" s="41" t="str">
        <f ca="1">IFERROR(INDEX(OFFSET('תכנית לפי קבוצות'!$C$120,$A27*4,0,4,4),MATCH(H$1,OFFSET('תכנית לפי קבוצות'!$F$120,$A27*4,0,4,1),0),1),"")</f>
        <v/>
      </c>
      <c r="I27" s="41">
        <f ca="1">IFERROR(INDEX(OFFSET('תכנית לפי קבוצות'!$C$120,$A27*4,0,4,4),MATCH(I$1,OFFSET('תכנית לפי קבוצות'!$F$120,$A27*4,0,4,1),0),1),"")</f>
        <v>34</v>
      </c>
      <c r="J27" s="41">
        <f ca="1">IFERROR(INDEX(OFFSET('תכנית לפי קבוצות'!$C$120,$A27*4,0,4,4),MATCH(J$1,OFFSET('תכנית לפי קבוצות'!$F$120,$A27*4,0,4,1),0),1),"")</f>
        <v>31</v>
      </c>
      <c r="K27" s="41">
        <f ca="1">IFERROR(INDEX(OFFSET('תכנית לפי קבוצות'!$C$120,$A27*4,0,4,4),MATCH(K$1,OFFSET('תכנית לפי קבוצות'!$F$120,$A27*4,0,4,1),0),1),"")</f>
        <v>28</v>
      </c>
      <c r="L27" s="41">
        <f ca="1">IFERROR(INDEX(OFFSET('תכנית לפי קבוצות'!$C$120,$A27*4,0,4,4),MATCH(L$1,OFFSET('תכנית לפי קבוצות'!$F$120,$A27*4,0,4,1),0),1),"")</f>
        <v>25</v>
      </c>
      <c r="M27" s="1"/>
      <c r="N27" s="1"/>
      <c r="P27" s="5"/>
      <c r="Q27" s="5"/>
      <c r="AA27" s="236"/>
      <c r="AB27" s="238"/>
      <c r="AC27" s="238"/>
      <c r="AD27" s="86" t="str">
        <f ca="1">IFERROR(_xlfn.XLOOKUP(R15,TeamList[מס"ד],TeamList[ישוב]),"")</f>
        <v/>
      </c>
      <c r="AE27" s="86" t="str">
        <f ca="1">IFERROR(_xlfn.XLOOKUP(S15,TeamList[מס"ד],TeamList[ישוב]),"")</f>
        <v/>
      </c>
      <c r="AF27" s="86" t="str">
        <f ca="1">IFERROR(_xlfn.XLOOKUP(T15,TeamList[מס"ד],TeamList[ישוב]),"")</f>
        <v/>
      </c>
      <c r="AG27" s="86" t="str">
        <f ca="1">IFERROR(_xlfn.XLOOKUP(U15,TeamList[מס"ד],TeamList[ישוב]),"")</f>
        <v/>
      </c>
      <c r="AH27" s="86" t="str">
        <f ca="1">IFERROR(_xlfn.XLOOKUP(V15,TeamList[מס"ד],TeamList[ישוב]),"")</f>
        <v>כפר סבא</v>
      </c>
      <c r="AI27" s="86" t="str">
        <f ca="1">IFERROR(_xlfn.XLOOKUP(W15,TeamList[מס"ד],TeamList[ישוב]),"")</f>
        <v>הרצליה</v>
      </c>
      <c r="AJ27" s="86" t="str">
        <f ca="1">IFERROR(_xlfn.XLOOKUP(X15,TeamList[מס"ד],TeamList[ישוב]),"")</f>
        <v>ירושלים</v>
      </c>
      <c r="AK27" s="87" t="str">
        <f ca="1">IFERROR(_xlfn.XLOOKUP(Y15,TeamList[מס"ד],TeamList[ישוב]),"")</f>
        <v>ירושלים</v>
      </c>
    </row>
    <row r="28" spans="1:37" s="4" customFormat="1" ht="21.65" customHeight="1" thickBot="1" x14ac:dyDescent="0.8">
      <c r="A28" s="35">
        <v>10</v>
      </c>
      <c r="B28" s="1">
        <f t="shared" si="6"/>
        <v>35</v>
      </c>
      <c r="C28" s="34">
        <f t="shared" si="5"/>
        <v>0.54861111111111105</v>
      </c>
      <c r="D28" s="34">
        <f>HRGame2Table[[#This Row],[התחלה]]+TIME(0,3,0)</f>
        <v>0.55069444444444438</v>
      </c>
      <c r="E28" s="41">
        <f ca="1">IFERROR(INDEX(OFFSET('תכנית לפי קבוצות'!$C$120,$A28*4,0,4,4),MATCH(E$1,OFFSET('תכנית לפי קבוצות'!$F$120,$A28*4,0,4,1),0),1),"")</f>
        <v>35</v>
      </c>
      <c r="F28" s="41">
        <f ca="1">IFERROR(INDEX(OFFSET('תכנית לפי קבוצות'!$C$120,$A28*4,0,4,4),MATCH(F$1,OFFSET('תכנית לפי קבוצות'!$F$120,$A28*4,0,4,1),0),1),"")</f>
        <v>32</v>
      </c>
      <c r="G28" s="41">
        <f ca="1">IFERROR(INDEX(OFFSET('תכנית לפי קבוצות'!$C$120,$A28*4,0,4,4),MATCH(G$1,OFFSET('תכנית לפי קבוצות'!$F$120,$A28*4,0,4,1),0),1),"")</f>
        <v>29</v>
      </c>
      <c r="H28" s="41">
        <f ca="1">IFERROR(INDEX(OFFSET('תכנית לפי קבוצות'!$C$120,$A28*4,0,4,4),MATCH(H$1,OFFSET('תכנית לפי קבוצות'!$F$120,$A28*4,0,4,1),0),1),"")</f>
        <v>26</v>
      </c>
      <c r="I28" s="41" t="str">
        <f ca="1">IFERROR(INDEX(OFFSET('תכנית לפי קבוצות'!$C$120,$A28*4,0,4,4),MATCH(I$1,OFFSET('תכנית לפי קבוצות'!$F$120,$A28*4,0,4,1),0),1),"")</f>
        <v/>
      </c>
      <c r="J28" s="41" t="str">
        <f ca="1">IFERROR(INDEX(OFFSET('תכנית לפי קבוצות'!$C$120,$A28*4,0,4,4),MATCH(J$1,OFFSET('תכנית לפי קבוצות'!$F$120,$A28*4,0,4,1),0),1),"")</f>
        <v/>
      </c>
      <c r="K28" s="41" t="str">
        <f ca="1">IFERROR(INDEX(OFFSET('תכנית לפי קבוצות'!$C$120,$A28*4,0,4,4),MATCH(K$1,OFFSET('תכנית לפי קבוצות'!$F$120,$A28*4,0,4,1),0),1),"")</f>
        <v/>
      </c>
      <c r="L28" s="41" t="str">
        <f ca="1">IFERROR(INDEX(OFFSET('תכנית לפי קבוצות'!$C$120,$A28*4,0,4,4),MATCH(L$1,OFFSET('תכנית לפי קבוצות'!$F$120,$A28*4,0,4,1),0),1),"")</f>
        <v/>
      </c>
      <c r="M28" s="1"/>
      <c r="N28" s="1"/>
      <c r="P28" s="5"/>
      <c r="Q28" s="5"/>
      <c r="AA28" s="240" t="s">
        <v>31</v>
      </c>
      <c r="AB28" s="241"/>
      <c r="AC28" s="241"/>
      <c r="AD28" s="241"/>
      <c r="AE28" s="241"/>
      <c r="AF28" s="241"/>
      <c r="AG28" s="241"/>
      <c r="AH28" s="241"/>
      <c r="AI28" s="241"/>
      <c r="AJ28" s="241"/>
      <c r="AK28" s="242"/>
    </row>
    <row r="29" spans="1:37" s="4" customFormat="1" ht="13.9" customHeight="1" x14ac:dyDescent="0.65">
      <c r="A29" s="35">
        <v>11</v>
      </c>
      <c r="B29" s="1">
        <f t="shared" si="6"/>
        <v>36</v>
      </c>
      <c r="C29" s="34">
        <f t="shared" si="5"/>
        <v>0.55208333333333326</v>
      </c>
      <c r="D29" s="34">
        <f>HRGame2Table[[#This Row],[התחלה]]+TIME(0,3,0)</f>
        <v>0.55416666666666659</v>
      </c>
      <c r="E29" s="41" t="str">
        <f ca="1">IFERROR(INDEX(OFFSET('תכנית לפי קבוצות'!$C$120,$A29*4,0,4,4),MATCH(E$1,OFFSET('תכנית לפי קבוצות'!$F$120,$A29*4,0,4,1),0),1),"")</f>
        <v/>
      </c>
      <c r="F29" s="41" t="str">
        <f ca="1">IFERROR(INDEX(OFFSET('תכנית לפי קבוצות'!$C$120,$A29*4,0,4,4),MATCH(F$1,OFFSET('תכנית לפי קבוצות'!$F$120,$A29*4,0,4,1),0),1),"")</f>
        <v/>
      </c>
      <c r="G29" s="41" t="str">
        <f ca="1">IFERROR(INDEX(OFFSET('תכנית לפי קבוצות'!$C$120,$A29*4,0,4,4),MATCH(G$1,OFFSET('תכנית לפי קבוצות'!$F$120,$A29*4,0,4,1),0),1),"")</f>
        <v/>
      </c>
      <c r="H29" s="41" t="str">
        <f ca="1">IFERROR(INDEX(OFFSET('תכנית לפי קבוצות'!$C$120,$A29*4,0,4,4),MATCH(H$1,OFFSET('תכנית לפי קבוצות'!$F$120,$A29*4,0,4,1),0),1),"")</f>
        <v/>
      </c>
      <c r="I29" s="41">
        <f ca="1">IFERROR(INDEX(OFFSET('תכנית לפי קבוצות'!$C$120,$A29*4,0,4,4),MATCH(I$1,OFFSET('תכנית לפי קבוצות'!$F$120,$A29*4,0,4,1),0),1),"")</f>
        <v>48</v>
      </c>
      <c r="J29" s="41">
        <f ca="1">IFERROR(INDEX(OFFSET('תכנית לפי קבוצות'!$C$120,$A29*4,0,4,4),MATCH(J$1,OFFSET('תכנית לפי קבוצות'!$F$120,$A29*4,0,4,1),0),1),"")</f>
        <v>33</v>
      </c>
      <c r="K29" s="41">
        <f ca="1">IFERROR(INDEX(OFFSET('תכנית לפי קבוצות'!$C$120,$A29*4,0,4,4),MATCH(K$1,OFFSET('תכנית לפי קבוצות'!$F$120,$A29*4,0,4,1),0),1),"")</f>
        <v>30</v>
      </c>
      <c r="L29" s="41">
        <f ca="1">IFERROR(INDEX(OFFSET('תכנית לפי קבוצות'!$C$120,$A29*4,0,4,4),MATCH(L$1,OFFSET('תכנית לפי קבוצות'!$F$120,$A29*4,0,4,1),0),1),"")</f>
        <v>27</v>
      </c>
      <c r="M29" s="1"/>
      <c r="N29" s="1"/>
      <c r="P29" s="5"/>
      <c r="Q29" s="5"/>
      <c r="AA29" s="79"/>
      <c r="AB29" s="79"/>
      <c r="AC29" s="79"/>
      <c r="AD29" s="96"/>
      <c r="AE29" s="96"/>
      <c r="AF29" s="96"/>
      <c r="AG29" s="96"/>
      <c r="AH29" s="96"/>
      <c r="AI29" s="96"/>
      <c r="AJ29" s="96"/>
      <c r="AK29" s="96"/>
    </row>
    <row r="30" spans="1:37" s="4" customFormat="1" ht="31.9" customHeight="1" thickBot="1" x14ac:dyDescent="0.8">
      <c r="M30" s="1"/>
      <c r="N30" s="1"/>
      <c r="O30" s="1"/>
      <c r="P30" s="5"/>
      <c r="Q30" s="5"/>
      <c r="AA30" s="89"/>
      <c r="AB30" s="89"/>
      <c r="AC30" s="89"/>
      <c r="AD30" s="90"/>
      <c r="AE30" s="90"/>
      <c r="AF30" s="88" t="s">
        <v>32</v>
      </c>
      <c r="AG30" s="88" t="s">
        <v>33</v>
      </c>
      <c r="AH30" s="91" t="str">
        <f>'רשימת הקבוצות'!$C$1</f>
        <v>מוקדמות מס'</v>
      </c>
      <c r="AI30" s="92" t="str">
        <f>'רשימת הקבוצות'!$D$1</f>
        <v>4   בית אדום</v>
      </c>
      <c r="AJ30" s="244">
        <f>'רשימת הקבוצות'!$E$1</f>
        <v>44965</v>
      </c>
      <c r="AK30" s="244"/>
    </row>
    <row r="31" spans="1:37" s="4" customFormat="1" ht="28.2" customHeight="1" thickTop="1" thickBot="1" x14ac:dyDescent="0.8">
      <c r="B31" s="43" t="s">
        <v>4</v>
      </c>
      <c r="C31" s="42" t="s">
        <v>22</v>
      </c>
      <c r="D31" s="42" t="s">
        <v>23</v>
      </c>
      <c r="E31" s="39" t="s">
        <v>115</v>
      </c>
      <c r="F31" s="39" t="s">
        <v>116</v>
      </c>
      <c r="G31" s="39" t="s">
        <v>117</v>
      </c>
      <c r="H31" s="39" t="s">
        <v>118</v>
      </c>
      <c r="I31" s="39" t="s">
        <v>119</v>
      </c>
      <c r="J31" s="39" t="s">
        <v>120</v>
      </c>
      <c r="K31" s="39" t="s">
        <v>121</v>
      </c>
      <c r="L31" s="39" t="s">
        <v>122</v>
      </c>
      <c r="M31" s="1"/>
      <c r="N31" s="1"/>
      <c r="O31" s="1"/>
      <c r="P31" s="5"/>
      <c r="Q31" s="5"/>
      <c r="AA31" s="239" t="s">
        <v>190</v>
      </c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</row>
    <row r="32" spans="1:37" s="4" customFormat="1" ht="25.9" customHeight="1" thickBot="1" x14ac:dyDescent="0.8">
      <c r="A32" s="35">
        <v>0</v>
      </c>
      <c r="B32" s="1">
        <f>_xlfn.XLOOKUP(N,break_scheduler['# of teams],break_scheduler[Round matches])*3+1</f>
        <v>37</v>
      </c>
      <c r="C32" s="34">
        <f t="shared" ref="C32:C43" si="7">start_round_III+ORM*A32</f>
        <v>0.59027777777777768</v>
      </c>
      <c r="D32" s="34">
        <f>HRGame3Table[[#This Row],[התחלה]]+TIME(0,3,0)</f>
        <v>0.59236111111111101</v>
      </c>
      <c r="E32" s="41">
        <f ca="1">IFERROR(INDEX(OFFSET('תכנית לפי קבוצות'!$C$178,$A32*4,0,4,4),MATCH(E$1,OFFSET('תכנית לפי קבוצות'!$F$178,$A32*4,0,4,1),0),1),"")</f>
        <v>2</v>
      </c>
      <c r="F32" s="41">
        <f ca="1">IFERROR(INDEX(OFFSET('תכנית לפי קבוצות'!$C$178,$A32*4,0,4,4),MATCH(F$1,OFFSET('תכנית לפי קבוצות'!$F$178,$A32*4,0,4,1),0),1),"")</f>
        <v>1</v>
      </c>
      <c r="G32" s="41">
        <f ca="1">IFERROR(INDEX(OFFSET('תכנית לפי קבוצות'!$C$178,$A32*4,0,4,4),MATCH(G$1,OFFSET('תכנית לפי קבוצות'!$F$178,$A32*4,0,4,1),0),1),"")</f>
        <v>4</v>
      </c>
      <c r="H32" s="41">
        <f ca="1">IFERROR(INDEX(OFFSET('תכנית לפי קבוצות'!$C$178,$A32*4,0,4,4),MATCH(H$1,OFFSET('תכנית לפי קבוצות'!$F$178,$A32*4,0,4,1),0),1),"")</f>
        <v>3</v>
      </c>
      <c r="I32" s="41" t="str">
        <f ca="1">IFERROR(INDEX(OFFSET('תכנית לפי קבוצות'!$C$178,$A32*4,0,4,4),MATCH(I$1,OFFSET('תכנית לפי קבוצות'!$F$178,$A32*4,0,4,1),0),1),"")</f>
        <v/>
      </c>
      <c r="J32" s="41" t="str">
        <f ca="1">IFERROR(INDEX(OFFSET('תכנית לפי קבוצות'!$C$178,$A32*4,0,4,4),MATCH(J$1,OFFSET('תכנית לפי קבוצות'!$F$178,$A32*4,0,4,1),0),1),"")</f>
        <v/>
      </c>
      <c r="K32" s="41" t="str">
        <f ca="1">IFERROR(INDEX(OFFSET('תכנית לפי קבוצות'!$C$178,$A32*4,0,4,4),MATCH(K$1,OFFSET('תכנית לפי קבוצות'!$F$178,$A32*4,0,4,1),0),1),"")</f>
        <v/>
      </c>
      <c r="L32" s="41" t="str">
        <f ca="1">IFERROR(INDEX(OFFSET('תכנית לפי קבוצות'!$C$178,$A32*4,0,4,4),MATCH(L$1,OFFSET('תכנית לפי קבוצות'!$F$178,$A32*4,0,4,1),0),1),"")</f>
        <v/>
      </c>
      <c r="M32" s="1"/>
      <c r="N32" s="1"/>
      <c r="O32" s="1"/>
      <c r="P32" s="5"/>
      <c r="Q32" s="5"/>
      <c r="AA32" s="93" t="s">
        <v>30</v>
      </c>
      <c r="AB32" s="94" t="s">
        <v>22</v>
      </c>
      <c r="AC32" s="94" t="s">
        <v>23</v>
      </c>
      <c r="AD32" s="95" t="str">
        <f t="shared" ref="AD32:AK32" si="8">R$1</f>
        <v>1 אדום</v>
      </c>
      <c r="AE32" s="95" t="str">
        <f t="shared" si="8"/>
        <v>2 אדום</v>
      </c>
      <c r="AF32" s="95" t="str">
        <f t="shared" si="8"/>
        <v>3 אדום</v>
      </c>
      <c r="AG32" s="95" t="str">
        <f t="shared" si="8"/>
        <v>4 אדום</v>
      </c>
      <c r="AH32" s="95" t="str">
        <f t="shared" si="8"/>
        <v>5 אדום</v>
      </c>
      <c r="AI32" s="95" t="str">
        <f t="shared" si="8"/>
        <v>6 אדום</v>
      </c>
      <c r="AJ32" s="95" t="str">
        <f t="shared" si="8"/>
        <v>7 אדום</v>
      </c>
      <c r="AK32" s="95" t="str">
        <f t="shared" si="8"/>
        <v>8 אדום</v>
      </c>
    </row>
    <row r="33" spans="1:46" s="4" customFormat="1" ht="14.4" customHeight="1" x14ac:dyDescent="0.65">
      <c r="A33" s="35">
        <v>1</v>
      </c>
      <c r="B33" s="1">
        <f t="shared" ref="B33:B43" si="9">B32+1</f>
        <v>38</v>
      </c>
      <c r="C33" s="34">
        <f t="shared" si="7"/>
        <v>0.59374999999999989</v>
      </c>
      <c r="D33" s="34">
        <f>HRGame3Table[[#This Row],[התחלה]]+TIME(0,3,0)</f>
        <v>0.59583333333333321</v>
      </c>
      <c r="E33" s="41" t="str">
        <f ca="1">IFERROR(INDEX(OFFSET('תכנית לפי קבוצות'!$C$178,$A33*4,0,4,4),MATCH(E$1,OFFSET('תכנית לפי קבוצות'!$F$178,$A33*4,0,4,1),0),1),"")</f>
        <v/>
      </c>
      <c r="F33" s="41" t="str">
        <f ca="1">IFERROR(INDEX(OFFSET('תכנית לפי קבוצות'!$C$178,$A33*4,0,4,4),MATCH(F$1,OFFSET('תכנית לפי קבוצות'!$F$178,$A33*4,0,4,1),0),1),"")</f>
        <v/>
      </c>
      <c r="G33" s="41" t="str">
        <f ca="1">IFERROR(INDEX(OFFSET('תכנית לפי קבוצות'!$C$178,$A33*4,0,4,4),MATCH(G$1,OFFSET('תכנית לפי קבוצות'!$F$178,$A33*4,0,4,1),0),1),"")</f>
        <v/>
      </c>
      <c r="H33" s="41" t="str">
        <f ca="1">IFERROR(INDEX(OFFSET('תכנית לפי קבוצות'!$C$178,$A33*4,0,4,4),MATCH(H$1,OFFSET('תכנית לפי קבוצות'!$F$178,$A33*4,0,4,1),0),1),"")</f>
        <v/>
      </c>
      <c r="I33" s="41">
        <f ca="1">IFERROR(INDEX(OFFSET('תכנית לפי קבוצות'!$C$178,$A33*4,0,4,4),MATCH(I$1,OFFSET('תכנית לפי קבוצות'!$F$178,$A33*4,0,4,1),0),1),"")</f>
        <v>6</v>
      </c>
      <c r="J33" s="41">
        <f ca="1">IFERROR(INDEX(OFFSET('תכנית לפי קבוצות'!$C$178,$A33*4,0,4,4),MATCH(J$1,OFFSET('תכנית לפי קבוצות'!$F$178,$A33*4,0,4,1),0),1),"")</f>
        <v>5</v>
      </c>
      <c r="K33" s="41">
        <f ca="1">IFERROR(INDEX(OFFSET('תכנית לפי קבוצות'!$C$178,$A33*4,0,4,4),MATCH(K$1,OFFSET('תכנית לפי קבוצות'!$F$178,$A33*4,0,4,1),0),1),"")</f>
        <v>8</v>
      </c>
      <c r="L33" s="41">
        <f ca="1">IFERROR(INDEX(OFFSET('תכנית לפי קבוצות'!$C$178,$A33*4,0,4,4),MATCH(L$1,OFFSET('תכנית לפי קבוצות'!$F$178,$A33*4,0,4,1),0),1),"")</f>
        <v>7</v>
      </c>
      <c r="M33" s="1"/>
      <c r="N33" s="1"/>
      <c r="Q33" s="4">
        <v>0</v>
      </c>
      <c r="R33" s="4" t="str">
        <f t="shared" ref="R33:R56" si="10">"E"&amp;(INT($Q33/2)+4)</f>
        <v>E4</v>
      </c>
      <c r="S33" s="4" t="str">
        <f t="shared" ref="S33:S56" si="11">"F"&amp;(INT($Q33/2)+4)</f>
        <v>F4</v>
      </c>
      <c r="T33" s="4" t="str">
        <f t="shared" ref="T33:T56" si="12">"G"&amp;(INT($Q33/2)+4)</f>
        <v>G4</v>
      </c>
      <c r="U33" s="4" t="str">
        <f t="shared" ref="U33:U56" si="13">"H"&amp;(INT($Q33/2)+4)</f>
        <v>H4</v>
      </c>
      <c r="V33" s="4" t="str">
        <f t="shared" ref="V33:V56" si="14">"I"&amp;(INT($Q33/2)+4)</f>
        <v>I4</v>
      </c>
      <c r="W33" s="4" t="str">
        <f t="shared" ref="W33:W56" si="15">"J"&amp;(INT($Q33/2)+4)</f>
        <v>J4</v>
      </c>
      <c r="X33" s="4" t="str">
        <f t="shared" ref="X33:X56" si="16">"K"&amp;(INT($Q33/2)+4)</f>
        <v>K4</v>
      </c>
      <c r="Y33" s="4" t="str">
        <f t="shared" ref="Y33:Y56" si="17">"L"&amp;(INT($Q33/2)+4)</f>
        <v>L4</v>
      </c>
      <c r="AA33" s="231">
        <f>_xlfn.XLOOKUP(N,break_scheduler['# of teams],break_scheduler[Round matches])+1</f>
        <v>13</v>
      </c>
      <c r="AB33" s="233">
        <f>start_round_I</f>
        <v>0.44097222222222221</v>
      </c>
      <c r="AC33" s="233">
        <f>AB33+TIME(0,3,0)</f>
        <v>0.44305555555555554</v>
      </c>
      <c r="AD33" s="23" t="str" cm="1">
        <f t="array" aca="1" ref="AD33" ca="1">IFERROR(CONCATENATE(_xlfn.XLOOKUP(INDIRECT(R33),TeamList[מס"ד],TeamList[מס'' הקבוצה])," ",_xlfn.XLOOKUP(INDIRECT(R33),TeamList[מס"ד],TeamList[שם הקבוצה])),"")</f>
        <v xml:space="preserve">240 קרית נוער </v>
      </c>
      <c r="AE33" s="23" t="str" cm="1">
        <f t="array" aca="1" ref="AE33" ca="1">IFERROR(CONCATENATE(_xlfn.XLOOKUP(INDIRECT(S33),TeamList[מס"ד],TeamList[מס'' הקבוצה])," ",_xlfn.XLOOKUP(INDIRECT(S33),TeamList[מס"ד],TeamList[שם הקבוצה])),"")</f>
        <v>1333 אפרתה</v>
      </c>
      <c r="AF33" s="23" t="str" cm="1">
        <f t="array" aca="1" ref="AF33" ca="1">IFERROR(CONCATENATE(_xlfn.XLOOKUP(INDIRECT(T33),TeamList[מס"ד],TeamList[מס'' הקבוצה])," ",_xlfn.XLOOKUP(INDIRECT(T33),TeamList[מס"ד],TeamList[שם הקבוצה])),"")</f>
        <v>1152 אל זהראא ב</v>
      </c>
      <c r="AG33" s="219" t="str" cm="1">
        <f t="array" aca="1" ref="AG33" ca="1">IFERROR(CONCATENATE(_xlfn.XLOOKUP(INDIRECT(U33),TeamList[מס"ד],TeamList[מס'' הקבוצה])," ",_xlfn.XLOOKUP(INDIRECT(U33),TeamList[מס"ד],TeamList[שם הקבוצה])),"")</f>
        <v>2840 נצח ישראל</v>
      </c>
      <c r="AH33" s="23" t="str" cm="1">
        <f t="array" aca="1" ref="AH33" ca="1">IFERROR(CONCATENATE(_xlfn.XLOOKUP(INDIRECT(V33),TeamList[מס"ד],TeamList[מס'' הקבוצה])," ",_xlfn.XLOOKUP(INDIRECT(V33),TeamList[מס"ד],TeamList[שם הקבוצה])),"")</f>
        <v/>
      </c>
      <c r="AI33" s="23" t="str" cm="1">
        <f t="array" aca="1" ref="AI33" ca="1">IFERROR(CONCATENATE(_xlfn.XLOOKUP(INDIRECT(W33),TeamList[מס"ד],TeamList[מס'' הקבוצה])," ",_xlfn.XLOOKUP(INDIRECT(W33),TeamList[מס"ד],TeamList[שם הקבוצה])),"")</f>
        <v/>
      </c>
      <c r="AJ33" s="23" t="str" cm="1">
        <f t="array" aca="1" ref="AJ33" ca="1">IFERROR(CONCATENATE(_xlfn.XLOOKUP(INDIRECT(X33),TeamList[מס"ד],TeamList[מס'' הקבוצה])," ",_xlfn.XLOOKUP(INDIRECT(X33),TeamList[מס"ד],TeamList[שם הקבוצה])),"")</f>
        <v/>
      </c>
      <c r="AK33" s="73" t="str" cm="1">
        <f t="array" aca="1" ref="AK33" ca="1">IFERROR(CONCATENATE(_xlfn.XLOOKUP(INDIRECT(Y33),TeamList[מס"ד],TeamList[מס'' הקבוצה])," ",_xlfn.XLOOKUP(INDIRECT(Y33),TeamList[מס"ד],TeamList[שם הקבוצה])),"")</f>
        <v/>
      </c>
    </row>
    <row r="34" spans="1:46" s="4" customFormat="1" ht="14.4" customHeight="1" thickBot="1" x14ac:dyDescent="0.8">
      <c r="A34" s="35">
        <v>2</v>
      </c>
      <c r="B34" s="1">
        <f t="shared" si="9"/>
        <v>39</v>
      </c>
      <c r="C34" s="34">
        <f t="shared" si="7"/>
        <v>0.5972222222222221</v>
      </c>
      <c r="D34" s="34">
        <f>HRGame3Table[[#This Row],[התחלה]]+TIME(0,3,0)</f>
        <v>0.59930555555555542</v>
      </c>
      <c r="E34" s="41">
        <f ca="1">IFERROR(INDEX(OFFSET('תכנית לפי קבוצות'!$C$178,$A34*4,0,4,4),MATCH(E$1,OFFSET('תכנית לפי קבוצות'!$F$178,$A34*4,0,4,1),0),1),"")</f>
        <v>10</v>
      </c>
      <c r="F34" s="41">
        <f ca="1">IFERROR(INDEX(OFFSET('תכנית לפי קבוצות'!$C$178,$A34*4,0,4,4),MATCH(F$1,OFFSET('תכנית לפי קבוצות'!$F$178,$A34*4,0,4,1),0),1),"")</f>
        <v>9</v>
      </c>
      <c r="G34" s="41">
        <f ca="1">IFERROR(INDEX(OFFSET('תכנית לפי קבוצות'!$C$178,$A34*4,0,4,4),MATCH(G$1,OFFSET('תכנית לפי קבוצות'!$F$178,$A34*4,0,4,1),0),1),"")</f>
        <v>12</v>
      </c>
      <c r="H34" s="41">
        <f ca="1">IFERROR(INDEX(OFFSET('תכנית לפי קבוצות'!$C$178,$A34*4,0,4,4),MATCH(H$1,OFFSET('תכנית לפי קבוצות'!$F$178,$A34*4,0,4,1),0),1),"")</f>
        <v>11</v>
      </c>
      <c r="I34" s="41" t="str">
        <f ca="1">IFERROR(INDEX(OFFSET('תכנית לפי קבוצות'!$C$178,$A34*4,0,4,4),MATCH(I$1,OFFSET('תכנית לפי קבוצות'!$F$178,$A34*4,0,4,1),0),1),"")</f>
        <v/>
      </c>
      <c r="J34" s="41" t="str">
        <f ca="1">IFERROR(INDEX(OFFSET('תכנית לפי קבוצות'!$C$178,$A34*4,0,4,4),MATCH(J$1,OFFSET('תכנית לפי קבוצות'!$F$178,$A34*4,0,4,1),0),1),"")</f>
        <v/>
      </c>
      <c r="K34" s="41" t="str">
        <f ca="1">IFERROR(INDEX(OFFSET('תכנית לפי קבוצות'!$C$178,$A34*4,0,4,4),MATCH(K$1,OFFSET('תכנית לפי קבוצות'!$F$178,$A34*4,0,4,1),0),1),"")</f>
        <v/>
      </c>
      <c r="L34" s="41" t="str">
        <f ca="1">IFERROR(INDEX(OFFSET('תכנית לפי קבוצות'!$C$178,$A34*4,0,4,4),MATCH(L$1,OFFSET('תכנית לפי קבוצות'!$F$178,$A34*4,0,4,1),0),1),"")</f>
        <v/>
      </c>
      <c r="M34" s="1"/>
      <c r="N34" s="1"/>
      <c r="Q34" s="4">
        <v>1</v>
      </c>
      <c r="R34" s="4" t="str">
        <f t="shared" si="10"/>
        <v>E4</v>
      </c>
      <c r="S34" s="4" t="str">
        <f t="shared" si="11"/>
        <v>F4</v>
      </c>
      <c r="T34" s="4" t="str">
        <f t="shared" si="12"/>
        <v>G4</v>
      </c>
      <c r="U34" s="4" t="str">
        <f t="shared" si="13"/>
        <v>H4</v>
      </c>
      <c r="V34" s="4" t="str">
        <f t="shared" si="14"/>
        <v>I4</v>
      </c>
      <c r="W34" s="4" t="str">
        <f t="shared" si="15"/>
        <v>J4</v>
      </c>
      <c r="X34" s="4" t="str">
        <f t="shared" si="16"/>
        <v>K4</v>
      </c>
      <c r="Y34" s="4" t="str">
        <f t="shared" si="17"/>
        <v>L4</v>
      </c>
      <c r="AA34" s="232" t="e">
        <f>_xlfn.XLOOKUP(N,#REF!,#REF!)+1</f>
        <v>#REF!</v>
      </c>
      <c r="AB34" s="234">
        <f>start_round_I</f>
        <v>0.44097222222222221</v>
      </c>
      <c r="AC34" s="234"/>
      <c r="AD34" s="84" t="str" cm="1">
        <f t="array" aca="1" ref="AD34" ca="1">IFERROR(_xlfn.XLOOKUP(INDIRECT(R34),TeamList[מס"ד],TeamList[ישוב]),"")</f>
        <v>ירושלים</v>
      </c>
      <c r="AE34" s="84" t="str" cm="1">
        <f t="array" aca="1" ref="AE34" ca="1">IFERROR(_xlfn.XLOOKUP(INDIRECT(S34),TeamList[מס"ד],TeamList[ישוב]),"")</f>
        <v>ירושלים</v>
      </c>
      <c r="AF34" s="84" t="str" cm="1">
        <f t="array" aca="1" ref="AF34" ca="1">IFERROR(_xlfn.XLOOKUP(INDIRECT(T34),TeamList[מס"ד],TeamList[ישוב]),"")</f>
        <v>נצרת</v>
      </c>
      <c r="AG34" s="84" t="str" cm="1">
        <f t="array" aca="1" ref="AG34" ca="1">IFERROR(_xlfn.XLOOKUP(INDIRECT(U34),TeamList[מס"ד],TeamList[ישוב]),"")</f>
        <v>בית שמש</v>
      </c>
      <c r="AH34" s="84" t="str" cm="1">
        <f t="array" aca="1" ref="AH34" ca="1">IFERROR(_xlfn.XLOOKUP(INDIRECT(V34),TeamList[מס"ד],TeamList[ישוב]),"")</f>
        <v/>
      </c>
      <c r="AI34" s="84" t="str" cm="1">
        <f t="array" aca="1" ref="AI34" ca="1">IFERROR(_xlfn.XLOOKUP(INDIRECT(W34),TeamList[מס"ד],TeamList[ישוב]),"")</f>
        <v/>
      </c>
      <c r="AJ34" s="84" t="str" cm="1">
        <f t="array" aca="1" ref="AJ34" ca="1">IFERROR(_xlfn.XLOOKUP(INDIRECT(X34),TeamList[מס"ד],TeamList[ישוב]),"")</f>
        <v/>
      </c>
      <c r="AK34" s="85" t="str" cm="1">
        <f t="array" aca="1" ref="AK34" ca="1">IFERROR(_xlfn.XLOOKUP(INDIRECT(Y34),TeamList[מס"ד],TeamList[ישוב]),"")</f>
        <v/>
      </c>
    </row>
    <row r="35" spans="1:46" s="4" customFormat="1" ht="14.4" customHeight="1" x14ac:dyDescent="0.65">
      <c r="A35" s="35">
        <v>3</v>
      </c>
      <c r="B35" s="1">
        <f t="shared" si="9"/>
        <v>40</v>
      </c>
      <c r="C35" s="34">
        <f t="shared" si="7"/>
        <v>0.60069444444444431</v>
      </c>
      <c r="D35" s="34">
        <f>HRGame3Table[[#This Row],[התחלה]]+TIME(0,3,0)</f>
        <v>0.60277777777777763</v>
      </c>
      <c r="E35" s="41" t="str">
        <f ca="1">IFERROR(INDEX(OFFSET('תכנית לפי קבוצות'!$C$178,$A35*4,0,4,4),MATCH(E$1,OFFSET('תכנית לפי קבוצות'!$F$178,$A35*4,0,4,1),0),1),"")</f>
        <v/>
      </c>
      <c r="F35" s="41" t="str">
        <f ca="1">IFERROR(INDEX(OFFSET('תכנית לפי קבוצות'!$C$178,$A35*4,0,4,4),MATCH(F$1,OFFSET('תכנית לפי קבוצות'!$F$178,$A35*4,0,4,1),0),1),"")</f>
        <v/>
      </c>
      <c r="G35" s="41" t="str">
        <f ca="1">IFERROR(INDEX(OFFSET('תכנית לפי קבוצות'!$C$178,$A35*4,0,4,4),MATCH(G$1,OFFSET('תכנית לפי קבוצות'!$F$178,$A35*4,0,4,1),0),1),"")</f>
        <v/>
      </c>
      <c r="H35" s="41" t="str">
        <f ca="1">IFERROR(INDEX(OFFSET('תכנית לפי קבוצות'!$C$178,$A35*4,0,4,4),MATCH(H$1,OFFSET('תכנית לפי קבוצות'!$F$178,$A35*4,0,4,1),0),1),"")</f>
        <v/>
      </c>
      <c r="I35" s="41">
        <f ca="1">IFERROR(INDEX(OFFSET('תכנית לפי קבוצות'!$C$178,$A35*4,0,4,4),MATCH(I$1,OFFSET('תכנית לפי קבוצות'!$F$178,$A35*4,0,4,1),0),1),"")</f>
        <v>14</v>
      </c>
      <c r="J35" s="41">
        <f ca="1">IFERROR(INDEX(OFFSET('תכנית לפי קבוצות'!$C$178,$A35*4,0,4,4),MATCH(J$1,OFFSET('תכנית לפי קבוצות'!$F$178,$A35*4,0,4,1),0),1),"")</f>
        <v>13</v>
      </c>
      <c r="K35" s="41">
        <f ca="1">IFERROR(INDEX(OFFSET('תכנית לפי קבוצות'!$C$178,$A35*4,0,4,4),MATCH(K$1,OFFSET('תכנית לפי קבוצות'!$F$178,$A35*4,0,4,1),0),1),"")</f>
        <v>16</v>
      </c>
      <c r="L35" s="41">
        <f ca="1">IFERROR(INDEX(OFFSET('תכנית לפי קבוצות'!$C$178,$A35*4,0,4,4),MATCH(L$1,OFFSET('תכנית לפי קבוצות'!$F$178,$A35*4,0,4,1),0),1),"")</f>
        <v>15</v>
      </c>
      <c r="M35" s="1"/>
      <c r="N35" s="1"/>
      <c r="Q35" s="4">
        <v>2</v>
      </c>
      <c r="R35" s="4" t="str">
        <f t="shared" si="10"/>
        <v>E5</v>
      </c>
      <c r="S35" s="4" t="str">
        <f t="shared" si="11"/>
        <v>F5</v>
      </c>
      <c r="T35" s="4" t="str">
        <f t="shared" si="12"/>
        <v>G5</v>
      </c>
      <c r="U35" s="4" t="str">
        <f t="shared" si="13"/>
        <v>H5</v>
      </c>
      <c r="V35" s="4" t="str">
        <f t="shared" si="14"/>
        <v>I5</v>
      </c>
      <c r="W35" s="4" t="str">
        <f t="shared" si="15"/>
        <v>J5</v>
      </c>
      <c r="X35" s="4" t="str">
        <f t="shared" si="16"/>
        <v>K5</v>
      </c>
      <c r="Y35" s="4" t="str">
        <f t="shared" si="17"/>
        <v>L5</v>
      </c>
      <c r="AA35" s="235">
        <f>AA33+1</f>
        <v>14</v>
      </c>
      <c r="AB35" s="237">
        <f>AB33+ORM</f>
        <v>0.44444444444444442</v>
      </c>
      <c r="AC35" s="237">
        <f>AB35+TIME(0,3,0)</f>
        <v>0.44652777777777775</v>
      </c>
      <c r="AD35" s="24" t="str" cm="1">
        <f t="array" aca="1" ref="AD35" ca="1">IFERROR(CONCATENATE(_xlfn.XLOOKUP(INDIRECT(R35),TeamList[מס"ד],TeamList[מס'' הקבוצה])," ",_xlfn.XLOOKUP(INDIRECT(R35),TeamList[מס"ד],TeamList[שם הקבוצה])),"")</f>
        <v/>
      </c>
      <c r="AE35" s="24" t="str" cm="1">
        <f t="array" aca="1" ref="AE35" ca="1">IFERROR(CONCATENATE(_xlfn.XLOOKUP(INDIRECT(S35),TeamList[מס"ד],TeamList[מס'' הקבוצה])," ",_xlfn.XLOOKUP(INDIRECT(S35),TeamList[מס"ד],TeamList[שם הקבוצה])),"")</f>
        <v/>
      </c>
      <c r="AF35" s="24" t="str" cm="1">
        <f t="array" aca="1" ref="AF35" ca="1">IFERROR(CONCATENATE(_xlfn.XLOOKUP(INDIRECT(T35),TeamList[מס"ד],TeamList[מס'' הקבוצה])," ",_xlfn.XLOOKUP(INDIRECT(T35),TeamList[מס"ד],TeamList[שם הקבוצה])),"")</f>
        <v/>
      </c>
      <c r="AG35" s="24" t="str" cm="1">
        <f t="array" aca="1" ref="AG35" ca="1">IFERROR(CONCATENATE(_xlfn.XLOOKUP(INDIRECT(U35),TeamList[מס"ד],TeamList[מס'' הקבוצה])," ",_xlfn.XLOOKUP(INDIRECT(U35),TeamList[מס"ד],TeamList[שם הקבוצה])),"")</f>
        <v/>
      </c>
      <c r="AH35" s="24" t="str" cm="1">
        <f t="array" aca="1" ref="AH35" ca="1">IFERROR(CONCATENATE(_xlfn.XLOOKUP(INDIRECT(V35),TeamList[מס"ד],TeamList[מס'' הקבוצה])," ",_xlfn.XLOOKUP(INDIRECT(V35),TeamList[מס"ד],TeamList[שם הקבוצה])),"")</f>
        <v xml:space="preserve">1697 לאורו נלך </v>
      </c>
      <c r="AI35" s="24" t="str" cm="1">
        <f t="array" aca="1" ref="AI35" ca="1">IFERROR(CONCATENATE(_xlfn.XLOOKUP(INDIRECT(W35),TeamList[מס"ד],TeamList[מס'' הקבוצה])," ",_xlfn.XLOOKUP(INDIRECT(W35),TeamList[מס"ד],TeamList[שם הקבוצה])),"")</f>
        <v xml:space="preserve">662 אלגדיר </v>
      </c>
      <c r="AJ35" s="24" t="str" cm="1">
        <f t="array" aca="1" ref="AJ35" ca="1">IFERROR(CONCATENATE(_xlfn.XLOOKUP(INDIRECT(X35),TeamList[מס"ד],TeamList[מס'' הקבוצה])," ",_xlfn.XLOOKUP(INDIRECT(X35),TeamList[מס"ד],TeamList[שם הקבוצה])),"")</f>
        <v>1864 אפרתה</v>
      </c>
      <c r="AK35" s="72" t="str" cm="1">
        <f t="array" aca="1" ref="AK35" ca="1">IFERROR(CONCATENATE(_xlfn.XLOOKUP(INDIRECT(Y35),TeamList[מס"ד],TeamList[מס'' הקבוצה])," ",_xlfn.XLOOKUP(INDIRECT(Y35),TeamList[מס"ד],TeamList[שם הקבוצה])),"")</f>
        <v xml:space="preserve">52 הנדסאים </v>
      </c>
      <c r="AM35"/>
      <c r="AN35"/>
      <c r="AO35"/>
      <c r="AP35"/>
      <c r="AQ35"/>
      <c r="AR35"/>
      <c r="AS35"/>
      <c r="AT35"/>
    </row>
    <row r="36" spans="1:46" s="4" customFormat="1" ht="14.4" customHeight="1" thickBot="1" x14ac:dyDescent="0.8">
      <c r="A36" s="35">
        <v>4</v>
      </c>
      <c r="B36" s="1">
        <f t="shared" si="9"/>
        <v>41</v>
      </c>
      <c r="C36" s="34">
        <f t="shared" si="7"/>
        <v>0.60416666666666652</v>
      </c>
      <c r="D36" s="34">
        <f>HRGame3Table[[#This Row],[התחלה]]+TIME(0,3,0)</f>
        <v>0.60624999999999984</v>
      </c>
      <c r="E36" s="41">
        <f ca="1">IFERROR(INDEX(OFFSET('תכנית לפי קבוצות'!$C$178,$A36*4,0,4,4),MATCH(E$1,OFFSET('תכנית לפי קבוצות'!$F$178,$A36*4,0,4,1),0),1),"")</f>
        <v>18</v>
      </c>
      <c r="F36" s="41">
        <f ca="1">IFERROR(INDEX(OFFSET('תכנית לפי קבוצות'!$C$178,$A36*4,0,4,4),MATCH(F$1,OFFSET('תכנית לפי קבוצות'!$F$178,$A36*4,0,4,1),0),1),"")</f>
        <v>17</v>
      </c>
      <c r="G36" s="41">
        <f ca="1">IFERROR(INDEX(OFFSET('תכנית לפי קבוצות'!$C$178,$A36*4,0,4,4),MATCH(G$1,OFFSET('תכנית לפי קבוצות'!$F$178,$A36*4,0,4,1),0),1),"")</f>
        <v>20</v>
      </c>
      <c r="H36" s="41">
        <f ca="1">IFERROR(INDEX(OFFSET('תכנית לפי קבוצות'!$C$178,$A36*4,0,4,4),MATCH(H$1,OFFSET('תכנית לפי קבוצות'!$F$178,$A36*4,0,4,1),0),1),"")</f>
        <v>19</v>
      </c>
      <c r="I36" s="41" t="str">
        <f ca="1">IFERROR(INDEX(OFFSET('תכנית לפי קבוצות'!$C$178,$A36*4,0,4,4),MATCH(I$1,OFFSET('תכנית לפי קבוצות'!$F$178,$A36*4,0,4,1),0),1),"")</f>
        <v/>
      </c>
      <c r="J36" s="41" t="str">
        <f ca="1">IFERROR(INDEX(OFFSET('תכנית לפי קבוצות'!$C$178,$A36*4,0,4,4),MATCH(J$1,OFFSET('תכנית לפי קבוצות'!$F$178,$A36*4,0,4,1),0),1),"")</f>
        <v/>
      </c>
      <c r="K36" s="41" t="str">
        <f ca="1">IFERROR(INDEX(OFFSET('תכנית לפי קבוצות'!$C$178,$A36*4,0,4,4),MATCH(K$1,OFFSET('תכנית לפי קבוצות'!$F$178,$A36*4,0,4,1),0),1),"")</f>
        <v/>
      </c>
      <c r="L36" s="41" t="str">
        <f ca="1">IFERROR(INDEX(OFFSET('תכנית לפי קבוצות'!$C$178,$A36*4,0,4,4),MATCH(L$1,OFFSET('תכנית לפי קבוצות'!$F$178,$A36*4,0,4,1),0),1),"")</f>
        <v/>
      </c>
      <c r="M36" s="1"/>
      <c r="N36" s="1"/>
      <c r="Q36" s="4">
        <v>3</v>
      </c>
      <c r="R36" s="4" t="str">
        <f t="shared" si="10"/>
        <v>E5</v>
      </c>
      <c r="S36" s="4" t="str">
        <f t="shared" si="11"/>
        <v>F5</v>
      </c>
      <c r="T36" s="4" t="str">
        <f t="shared" si="12"/>
        <v>G5</v>
      </c>
      <c r="U36" s="4" t="str">
        <f t="shared" si="13"/>
        <v>H5</v>
      </c>
      <c r="V36" s="4" t="str">
        <f t="shared" si="14"/>
        <v>I5</v>
      </c>
      <c r="W36" s="4" t="str">
        <f t="shared" si="15"/>
        <v>J5</v>
      </c>
      <c r="X36" s="4" t="str">
        <f t="shared" si="16"/>
        <v>K5</v>
      </c>
      <c r="Y36" s="4" t="str">
        <f t="shared" si="17"/>
        <v>L5</v>
      </c>
      <c r="AA36" s="236"/>
      <c r="AB36" s="238"/>
      <c r="AC36" s="238"/>
      <c r="AD36" s="86" t="str" cm="1">
        <f t="array" aca="1" ref="AD36" ca="1">IFERROR(_xlfn.XLOOKUP(INDIRECT(R36),TeamList[מס"ד],TeamList[ישוב]),"")</f>
        <v/>
      </c>
      <c r="AE36" s="86" t="str" cm="1">
        <f t="array" aca="1" ref="AE36" ca="1">IFERROR(_xlfn.XLOOKUP(INDIRECT(S36),TeamList[מס"ד],TeamList[ישוב]),"")</f>
        <v/>
      </c>
      <c r="AF36" s="86" t="str" cm="1">
        <f t="array" aca="1" ref="AF36" ca="1">IFERROR(_xlfn.XLOOKUP(INDIRECT(T36),TeamList[מס"ד],TeamList[ישוב]),"")</f>
        <v/>
      </c>
      <c r="AG36" s="86" t="str" cm="1">
        <f t="array" aca="1" ref="AG36" ca="1">IFERROR(_xlfn.XLOOKUP(INDIRECT(U36),TeamList[מס"ד],TeamList[ישוב]),"")</f>
        <v/>
      </c>
      <c r="AH36" s="86" t="str" cm="1">
        <f t="array" aca="1" ref="AH36" ca="1">IFERROR(_xlfn.XLOOKUP(INDIRECT(V36),TeamList[מס"ד],TeamList[ישוב]),"")</f>
        <v>בני ברק</v>
      </c>
      <c r="AI36" s="86" t="str" cm="1">
        <f t="array" aca="1" ref="AI36" ca="1">IFERROR(_xlfn.XLOOKUP(INDIRECT(W36),TeamList[מס"ד],TeamList[ישוב]),"")</f>
        <v>סח׳נין</v>
      </c>
      <c r="AJ36" s="86" t="str" cm="1">
        <f t="array" aca="1" ref="AJ36" ca="1">IFERROR(_xlfn.XLOOKUP(INDIRECT(X36),TeamList[מס"ד],TeamList[ישוב]),"")</f>
        <v>ירושלים</v>
      </c>
      <c r="AK36" s="87" t="str" cm="1">
        <f t="array" aca="1" ref="AK36" ca="1">IFERROR(_xlfn.XLOOKUP(INDIRECT(Y36),TeamList[מס"ד],TeamList[ישוב]),"")</f>
        <v>הרצליה</v>
      </c>
      <c r="AM36"/>
      <c r="AN36"/>
      <c r="AO36"/>
      <c r="AP36"/>
      <c r="AQ36"/>
      <c r="AR36"/>
      <c r="AS36"/>
      <c r="AT36"/>
    </row>
    <row r="37" spans="1:46" s="4" customFormat="1" ht="14.4" customHeight="1" x14ac:dyDescent="0.65">
      <c r="A37" s="35">
        <v>5</v>
      </c>
      <c r="B37" s="1">
        <f t="shared" si="9"/>
        <v>42</v>
      </c>
      <c r="C37" s="34">
        <f t="shared" si="7"/>
        <v>0.60763888888888884</v>
      </c>
      <c r="D37" s="34">
        <f>HRGame3Table[[#This Row],[התחלה]]+TIME(0,3,0)</f>
        <v>0.60972222222222217</v>
      </c>
      <c r="E37" s="41" t="str">
        <f ca="1">IFERROR(INDEX(OFFSET('תכנית לפי קבוצות'!$C$178,$A37*4,0,4,4),MATCH(E$1,OFFSET('תכנית לפי קבוצות'!$F$178,$A37*4,0,4,1),0),1),"")</f>
        <v/>
      </c>
      <c r="F37" s="41" t="str">
        <f ca="1">IFERROR(INDEX(OFFSET('תכנית לפי קבוצות'!$C$178,$A37*4,0,4,4),MATCH(F$1,OFFSET('תכנית לפי קבוצות'!$F$178,$A37*4,0,4,1),0),1),"")</f>
        <v/>
      </c>
      <c r="G37" s="41" t="str">
        <f ca="1">IFERROR(INDEX(OFFSET('תכנית לפי קבוצות'!$C$178,$A37*4,0,4,4),MATCH(G$1,OFFSET('תכנית לפי קבוצות'!$F$178,$A37*4,0,4,1),0),1),"")</f>
        <v/>
      </c>
      <c r="H37" s="41" t="str">
        <f ca="1">IFERROR(INDEX(OFFSET('תכנית לפי קבוצות'!$C$178,$A37*4,0,4,4),MATCH(H$1,OFFSET('תכנית לפי קבוצות'!$F$178,$A37*4,0,4,1),0),1),"")</f>
        <v/>
      </c>
      <c r="I37" s="41">
        <f ca="1">IFERROR(INDEX(OFFSET('תכנית לפי קבוצות'!$C$178,$A37*4,0,4,4),MATCH(I$1,OFFSET('תכנית לפי קבוצות'!$F$178,$A37*4,0,4,1),0),1),"")</f>
        <v>22</v>
      </c>
      <c r="J37" s="41">
        <f ca="1">IFERROR(INDEX(OFFSET('תכנית לפי קבוצות'!$C$178,$A37*4,0,4,4),MATCH(J$1,OFFSET('תכנית לפי קבוצות'!$F$178,$A37*4,0,4,1),0),1),"")</f>
        <v>21</v>
      </c>
      <c r="K37" s="41">
        <f ca="1">IFERROR(INDEX(OFFSET('תכנית לפי קבוצות'!$C$178,$A37*4,0,4,4),MATCH(K$1,OFFSET('תכנית לפי קבוצות'!$F$178,$A37*4,0,4,1),0),1),"")</f>
        <v>24</v>
      </c>
      <c r="L37" s="41">
        <f ca="1">IFERROR(INDEX(OFFSET('תכנית לפי קבוצות'!$C$178,$A37*4,0,4,4),MATCH(L$1,OFFSET('תכנית לפי קבוצות'!$F$178,$A37*4,0,4,1),0),1),"")</f>
        <v>23</v>
      </c>
      <c r="M37" s="1"/>
      <c r="N37" s="1"/>
      <c r="Q37" s="4">
        <v>4</v>
      </c>
      <c r="R37" s="4" t="str">
        <f t="shared" si="10"/>
        <v>E6</v>
      </c>
      <c r="S37" s="4" t="str">
        <f t="shared" si="11"/>
        <v>F6</v>
      </c>
      <c r="T37" s="4" t="str">
        <f t="shared" si="12"/>
        <v>G6</v>
      </c>
      <c r="U37" s="4" t="str">
        <f t="shared" si="13"/>
        <v>H6</v>
      </c>
      <c r="V37" s="4" t="str">
        <f t="shared" si="14"/>
        <v>I6</v>
      </c>
      <c r="W37" s="4" t="str">
        <f t="shared" si="15"/>
        <v>J6</v>
      </c>
      <c r="X37" s="4" t="str">
        <f t="shared" si="16"/>
        <v>K6</v>
      </c>
      <c r="Y37" s="4" t="str">
        <f t="shared" si="17"/>
        <v>L6</v>
      </c>
      <c r="AA37" s="231">
        <f>AA35+1</f>
        <v>15</v>
      </c>
      <c r="AB37" s="233">
        <f>AB35+ORM</f>
        <v>0.44791666666666663</v>
      </c>
      <c r="AC37" s="233">
        <f>AB37+TIME(0,3,0)</f>
        <v>0.44999999999999996</v>
      </c>
      <c r="AD37" s="23" t="str" cm="1">
        <f t="array" aca="1" ref="AD37" ca="1">IFERROR(CONCATENATE(_xlfn.XLOOKUP(INDIRECT(R37),TeamList[מס"ד],TeamList[מס'' הקבוצה])," ",_xlfn.XLOOKUP(INDIRECT(R37),TeamList[מס"ד],TeamList[שם הקבוצה])),"")</f>
        <v>3243 לאה גולדברג</v>
      </c>
      <c r="AE37" s="219" t="str" cm="1">
        <f t="array" aca="1" ref="AE37" ca="1">IFERROR(CONCATENATE(_xlfn.XLOOKUP(INDIRECT(S37),TeamList[מס"ד],TeamList[מס'' הקבוצה])," ",_xlfn.XLOOKUP(INDIRECT(S37),TeamList[מס"ד],TeamList[שם הקבוצה])),"")</f>
        <v xml:space="preserve">1301 מרכז מחוננים </v>
      </c>
      <c r="AF37" s="23" t="str" cm="1">
        <f t="array" aca="1" ref="AF37" ca="1">IFERROR(CONCATENATE(_xlfn.XLOOKUP(INDIRECT(T37),TeamList[מס"ד],TeamList[מס'' הקבוצה])," ",_xlfn.XLOOKUP(INDIRECT(T37),TeamList[מס"ד],TeamList[שם הקבוצה])),"")</f>
        <v>3163 מקיף</v>
      </c>
      <c r="AG37" s="23" t="str" cm="1">
        <f t="array" aca="1" ref="AG37" ca="1">IFERROR(CONCATENATE(_xlfn.XLOOKUP(INDIRECT(U37),TeamList[מס"ד],TeamList[מס'' הקבוצה])," ",_xlfn.XLOOKUP(INDIRECT(U37),TeamList[מס"ד],TeamList[שם הקבוצה])),"")</f>
        <v>1042 כרמים</v>
      </c>
      <c r="AH37" s="23" t="str" cm="1">
        <f t="array" aca="1" ref="AH37" ca="1">IFERROR(CONCATENATE(_xlfn.XLOOKUP(INDIRECT(V37),TeamList[מס"ד],TeamList[מס'' הקבוצה])," ",_xlfn.XLOOKUP(INDIRECT(V37),TeamList[מס"ד],TeamList[שם הקבוצה])),"")</f>
        <v/>
      </c>
      <c r="AI37" s="23" t="str" cm="1">
        <f t="array" aca="1" ref="AI37" ca="1">IFERROR(CONCATENATE(_xlfn.XLOOKUP(INDIRECT(W37),TeamList[מס"ד],TeamList[מס'' הקבוצה])," ",_xlfn.XLOOKUP(INDIRECT(W37),TeamList[מס"ד],TeamList[שם הקבוצה])),"")</f>
        <v/>
      </c>
      <c r="AJ37" s="23" t="str" cm="1">
        <f t="array" aca="1" ref="AJ37" ca="1">IFERROR(CONCATENATE(_xlfn.XLOOKUP(INDIRECT(X37),TeamList[מס"ד],TeamList[מס'' הקבוצה])," ",_xlfn.XLOOKUP(INDIRECT(X37),TeamList[מס"ד],TeamList[שם הקבוצה])),"")</f>
        <v/>
      </c>
      <c r="AK37" s="73" t="str" cm="1">
        <f t="array" aca="1" ref="AK37" ca="1">IFERROR(CONCATENATE(_xlfn.XLOOKUP(INDIRECT(Y37),TeamList[מס"ד],TeamList[מס'' הקבוצה])," ",_xlfn.XLOOKUP(INDIRECT(Y37),TeamList[מס"ד],TeamList[שם הקבוצה])),"")</f>
        <v/>
      </c>
      <c r="AM37"/>
      <c r="AN37"/>
      <c r="AO37"/>
      <c r="AP37"/>
      <c r="AQ37"/>
      <c r="AR37"/>
      <c r="AS37"/>
      <c r="AT37"/>
    </row>
    <row r="38" spans="1:46" s="4" customFormat="1" ht="14.4" customHeight="1" thickBot="1" x14ac:dyDescent="0.8">
      <c r="A38" s="35">
        <v>6</v>
      </c>
      <c r="B38" s="1">
        <f t="shared" si="9"/>
        <v>43</v>
      </c>
      <c r="C38" s="34">
        <f t="shared" si="7"/>
        <v>0.61111111111111105</v>
      </c>
      <c r="D38" s="34">
        <f>HRGame3Table[[#This Row],[התחלה]]+TIME(0,3,0)</f>
        <v>0.61319444444444438</v>
      </c>
      <c r="E38" s="41">
        <f ca="1">IFERROR(INDEX(OFFSET('תכנית לפי קבוצות'!$C$178,$A38*4,0,4,4),MATCH(E$1,OFFSET('תכנית לפי קבוצות'!$F$178,$A38*4,0,4,1),0),1),"")</f>
        <v>26</v>
      </c>
      <c r="F38" s="41">
        <f ca="1">IFERROR(INDEX(OFFSET('תכנית לפי קבוצות'!$C$178,$A38*4,0,4,4),MATCH(F$1,OFFSET('תכנית לפי קבוצות'!$F$178,$A38*4,0,4,1),0),1),"")</f>
        <v>25</v>
      </c>
      <c r="G38" s="41">
        <f ca="1">IFERROR(INDEX(OFFSET('תכנית לפי קבוצות'!$C$178,$A38*4,0,4,4),MATCH(G$1,OFFSET('תכנית לפי קבוצות'!$F$178,$A38*4,0,4,1),0),1),"")</f>
        <v>28</v>
      </c>
      <c r="H38" s="41">
        <f ca="1">IFERROR(INDEX(OFFSET('תכנית לפי קבוצות'!$C$178,$A38*4,0,4,4),MATCH(H$1,OFFSET('תכנית לפי קבוצות'!$F$178,$A38*4,0,4,1),0),1),"")</f>
        <v>27</v>
      </c>
      <c r="I38" s="41" t="str">
        <f ca="1">IFERROR(INDEX(OFFSET('תכנית לפי קבוצות'!$C$178,$A38*4,0,4,4),MATCH(I$1,OFFSET('תכנית לפי קבוצות'!$F$178,$A38*4,0,4,1),0),1),"")</f>
        <v/>
      </c>
      <c r="J38" s="41" t="str">
        <f ca="1">IFERROR(INDEX(OFFSET('תכנית לפי קבוצות'!$C$178,$A38*4,0,4,4),MATCH(J$1,OFFSET('תכנית לפי קבוצות'!$F$178,$A38*4,0,4,1),0),1),"")</f>
        <v/>
      </c>
      <c r="K38" s="41" t="str">
        <f ca="1">IFERROR(INDEX(OFFSET('תכנית לפי קבוצות'!$C$178,$A38*4,0,4,4),MATCH(K$1,OFFSET('תכנית לפי קבוצות'!$F$178,$A38*4,0,4,1),0),1),"")</f>
        <v/>
      </c>
      <c r="L38" s="41" t="str">
        <f ca="1">IFERROR(INDEX(OFFSET('תכנית לפי קבוצות'!$C$178,$A38*4,0,4,4),MATCH(L$1,OFFSET('תכנית לפי קבוצות'!$F$178,$A38*4,0,4,1),0),1),"")</f>
        <v/>
      </c>
      <c r="M38" s="1"/>
      <c r="N38" s="1"/>
      <c r="Q38" s="4">
        <v>5</v>
      </c>
      <c r="R38" s="4" t="str">
        <f t="shared" si="10"/>
        <v>E6</v>
      </c>
      <c r="S38" s="4" t="str">
        <f t="shared" si="11"/>
        <v>F6</v>
      </c>
      <c r="T38" s="4" t="str">
        <f t="shared" si="12"/>
        <v>G6</v>
      </c>
      <c r="U38" s="4" t="str">
        <f t="shared" si="13"/>
        <v>H6</v>
      </c>
      <c r="V38" s="4" t="str">
        <f t="shared" si="14"/>
        <v>I6</v>
      </c>
      <c r="W38" s="4" t="str">
        <f t="shared" si="15"/>
        <v>J6</v>
      </c>
      <c r="X38" s="4" t="str">
        <f t="shared" si="16"/>
        <v>K6</v>
      </c>
      <c r="Y38" s="4" t="str">
        <f t="shared" si="17"/>
        <v>L6</v>
      </c>
      <c r="AA38" s="232"/>
      <c r="AB38" s="234"/>
      <c r="AC38" s="234"/>
      <c r="AD38" s="84" t="str" cm="1">
        <f t="array" aca="1" ref="AD38" ca="1">IFERROR(_xlfn.XLOOKUP(INDIRECT(R38),TeamList[מס"ד],TeamList[ישוב]),"")</f>
        <v>נתניה</v>
      </c>
      <c r="AE38" s="84" t="str" cm="1">
        <f t="array" aca="1" ref="AE38" ca="1">IFERROR(_xlfn.XLOOKUP(INDIRECT(S38),TeamList[מס"ד],TeamList[ישוב]),"")</f>
        <v>עראבה</v>
      </c>
      <c r="AF38" s="84" t="str" cm="1">
        <f t="array" aca="1" ref="AF38" ca="1">IFERROR(_xlfn.XLOOKUP(INDIRECT(T38),TeamList[מס"ד],TeamList[ישוב]),"")</f>
        <v>אעבלין</v>
      </c>
      <c r="AG38" s="84" t="str" cm="1">
        <f t="array" aca="1" ref="AG38" ca="1">IFERROR(_xlfn.XLOOKUP(INDIRECT(U38),TeamList[מס"ד],TeamList[ישוב]),"")</f>
        <v>בנימינה-גבעת עדה</v>
      </c>
      <c r="AH38" s="84" t="str" cm="1">
        <f t="array" aca="1" ref="AH38" ca="1">IFERROR(_xlfn.XLOOKUP(INDIRECT(V38),TeamList[מס"ד],TeamList[ישוב]),"")</f>
        <v/>
      </c>
      <c r="AI38" s="84" t="str" cm="1">
        <f t="array" aca="1" ref="AI38" ca="1">IFERROR(_xlfn.XLOOKUP(INDIRECT(W38),TeamList[מס"ד],TeamList[ישוב]),"")</f>
        <v/>
      </c>
      <c r="AJ38" s="84" t="str" cm="1">
        <f t="array" aca="1" ref="AJ38" ca="1">IFERROR(_xlfn.XLOOKUP(INDIRECT(X38),TeamList[מס"ד],TeamList[ישוב]),"")</f>
        <v/>
      </c>
      <c r="AK38" s="85" t="str" cm="1">
        <f t="array" aca="1" ref="AK38" ca="1">IFERROR(_xlfn.XLOOKUP(INDIRECT(Y38),TeamList[מס"ד],TeamList[ישוב]),"")</f>
        <v/>
      </c>
      <c r="AM38"/>
      <c r="AN38"/>
      <c r="AO38"/>
      <c r="AP38"/>
      <c r="AQ38"/>
      <c r="AR38"/>
      <c r="AS38"/>
      <c r="AT38"/>
    </row>
    <row r="39" spans="1:46" s="4" customFormat="1" ht="14.4" customHeight="1" x14ac:dyDescent="0.65">
      <c r="A39" s="35">
        <v>7</v>
      </c>
      <c r="B39" s="1">
        <f t="shared" si="9"/>
        <v>44</v>
      </c>
      <c r="C39" s="34">
        <f t="shared" si="7"/>
        <v>0.61458333333333326</v>
      </c>
      <c r="D39" s="34">
        <f>HRGame3Table[[#This Row],[התחלה]]+TIME(0,3,0)</f>
        <v>0.61666666666666659</v>
      </c>
      <c r="E39" s="41" t="str">
        <f ca="1">IFERROR(INDEX(OFFSET('תכנית לפי קבוצות'!$C$178,$A39*4,0,4,4),MATCH(E$1,OFFSET('תכנית לפי קבוצות'!$F$178,$A39*4,0,4,1),0),1),"")</f>
        <v/>
      </c>
      <c r="F39" s="41" t="str">
        <f ca="1">IFERROR(INDEX(OFFSET('תכנית לפי קבוצות'!$C$178,$A39*4,0,4,4),MATCH(F$1,OFFSET('תכנית לפי קבוצות'!$F$178,$A39*4,0,4,1),0),1),"")</f>
        <v/>
      </c>
      <c r="G39" s="41" t="str">
        <f ca="1">IFERROR(INDEX(OFFSET('תכנית לפי קבוצות'!$C$178,$A39*4,0,4,4),MATCH(G$1,OFFSET('תכנית לפי קבוצות'!$F$178,$A39*4,0,4,1),0),1),"")</f>
        <v/>
      </c>
      <c r="H39" s="41" t="str">
        <f ca="1">IFERROR(INDEX(OFFSET('תכנית לפי קבוצות'!$C$178,$A39*4,0,4,4),MATCH(H$1,OFFSET('תכנית לפי קבוצות'!$F$178,$A39*4,0,4,1),0),1),"")</f>
        <v/>
      </c>
      <c r="I39" s="41">
        <f ca="1">IFERROR(INDEX(OFFSET('תכנית לפי קבוצות'!$C$178,$A39*4,0,4,4),MATCH(I$1,OFFSET('תכנית לפי קבוצות'!$F$178,$A39*4,0,4,1),0),1),"")</f>
        <v>30</v>
      </c>
      <c r="J39" s="41">
        <f ca="1">IFERROR(INDEX(OFFSET('תכנית לפי קבוצות'!$C$178,$A39*4,0,4,4),MATCH(J$1,OFFSET('תכנית לפי קבוצות'!$F$178,$A39*4,0,4,1),0),1),"")</f>
        <v>29</v>
      </c>
      <c r="K39" s="41">
        <f ca="1">IFERROR(INDEX(OFFSET('תכנית לפי קבוצות'!$C$178,$A39*4,0,4,4),MATCH(K$1,OFFSET('תכנית לפי קבוצות'!$F$178,$A39*4,0,4,1),0),1),"")</f>
        <v>32</v>
      </c>
      <c r="L39" s="41">
        <f ca="1">IFERROR(INDEX(OFFSET('תכנית לפי קבוצות'!$C$178,$A39*4,0,4,4),MATCH(L$1,OFFSET('תכנית לפי קבוצות'!$F$178,$A39*4,0,4,1),0),1),"")</f>
        <v>31</v>
      </c>
      <c r="M39" s="1"/>
      <c r="N39" s="1"/>
      <c r="Q39" s="4">
        <v>6</v>
      </c>
      <c r="R39" s="4" t="str">
        <f t="shared" si="10"/>
        <v>E7</v>
      </c>
      <c r="S39" s="4" t="str">
        <f t="shared" si="11"/>
        <v>F7</v>
      </c>
      <c r="T39" s="4" t="str">
        <f t="shared" si="12"/>
        <v>G7</v>
      </c>
      <c r="U39" s="4" t="str">
        <f t="shared" si="13"/>
        <v>H7</v>
      </c>
      <c r="V39" s="4" t="str">
        <f t="shared" si="14"/>
        <v>I7</v>
      </c>
      <c r="W39" s="4" t="str">
        <f t="shared" si="15"/>
        <v>J7</v>
      </c>
      <c r="X39" s="4" t="str">
        <f t="shared" si="16"/>
        <v>K7</v>
      </c>
      <c r="Y39" s="4" t="str">
        <f t="shared" si="17"/>
        <v>L7</v>
      </c>
      <c r="AA39" s="235">
        <f>AA37+1</f>
        <v>16</v>
      </c>
      <c r="AB39" s="237">
        <f>AB37+ORM</f>
        <v>0.45138888888888884</v>
      </c>
      <c r="AC39" s="237">
        <f>AB39+TIME(0,3,0)</f>
        <v>0.45347222222222217</v>
      </c>
      <c r="AD39" s="24" t="str" cm="1">
        <f t="array" aca="1" ref="AD39" ca="1">IFERROR(CONCATENATE(_xlfn.XLOOKUP(INDIRECT(R39),TeamList[מס"ד],TeamList[מס'' הקבוצה])," ",_xlfn.XLOOKUP(INDIRECT(R39),TeamList[מס"ד],TeamList[שם הקבוצה])),"")</f>
        <v/>
      </c>
      <c r="AE39" s="24" t="str" cm="1">
        <f t="array" aca="1" ref="AE39" ca="1">IFERROR(CONCATENATE(_xlfn.XLOOKUP(INDIRECT(S39),TeamList[מס"ד],TeamList[מס'' הקבוצה])," ",_xlfn.XLOOKUP(INDIRECT(S39),TeamList[מס"ד],TeamList[שם הקבוצה])),"")</f>
        <v/>
      </c>
      <c r="AF39" s="24" t="str" cm="1">
        <f t="array" aca="1" ref="AF39" ca="1">IFERROR(CONCATENATE(_xlfn.XLOOKUP(INDIRECT(T39),TeamList[מס"ד],TeamList[מס'' הקבוצה])," ",_xlfn.XLOOKUP(INDIRECT(T39),TeamList[מס"ד],TeamList[שם הקבוצה])),"")</f>
        <v/>
      </c>
      <c r="AG39" s="24" t="str" cm="1">
        <f t="array" aca="1" ref="AG39" ca="1">IFERROR(CONCATENATE(_xlfn.XLOOKUP(INDIRECT(U39),TeamList[מס"ד],TeamList[מס'' הקבוצה])," ",_xlfn.XLOOKUP(INDIRECT(U39),TeamList[מס"ד],TeamList[שם הקבוצה])),"")</f>
        <v/>
      </c>
      <c r="AH39" s="24" t="str" cm="1">
        <f t="array" aca="1" ref="AH39" ca="1">IFERROR(CONCATENATE(_xlfn.XLOOKUP(INDIRECT(V39),TeamList[מס"ד],TeamList[מס'' הקבוצה])," ",_xlfn.XLOOKUP(INDIRECT(V39),TeamList[מס"ד],TeamList[שם הקבוצה])),"")</f>
        <v xml:space="preserve">3022 אברט </v>
      </c>
      <c r="AI39" s="24" t="str" cm="1">
        <f t="array" aca="1" ref="AI39" ca="1">IFERROR(CONCATENATE(_xlfn.XLOOKUP(INDIRECT(W39),TeamList[מס"ד],TeamList[מס'' הקבוצה])," ",_xlfn.XLOOKUP(INDIRECT(W39),TeamList[מס"ד],TeamList[שם הקבוצה])),"")</f>
        <v>3182 בנים</v>
      </c>
      <c r="AJ39" s="24" t="str" cm="1">
        <f t="array" aca="1" ref="AJ39" ca="1">IFERROR(CONCATENATE(_xlfn.XLOOKUP(INDIRECT(X39),TeamList[מס"ד],TeamList[מס'' הקבוצה])," ",_xlfn.XLOOKUP(INDIRECT(X39),TeamList[מס"ד],TeamList[שם הקבוצה])),"")</f>
        <v>3180 פלך בנים</v>
      </c>
      <c r="AK39" s="72" t="str" cm="1">
        <f t="array" aca="1" ref="AK39" ca="1">IFERROR(CONCATENATE(_xlfn.XLOOKUP(INDIRECT(Y39),TeamList[מס"ד],TeamList[מס'' הקבוצה])," ",_xlfn.XLOOKUP(INDIRECT(Y39),TeamList[מס"ד],TeamList[שם הקבוצה])),"")</f>
        <v>1825 אילן רמון</v>
      </c>
      <c r="AM39"/>
      <c r="AN39"/>
      <c r="AO39"/>
      <c r="AP39"/>
      <c r="AQ39"/>
      <c r="AR39"/>
      <c r="AS39"/>
      <c r="AT39"/>
    </row>
    <row r="40" spans="1:46" s="4" customFormat="1" ht="14.4" customHeight="1" thickBot="1" x14ac:dyDescent="0.8">
      <c r="A40" s="35">
        <v>8</v>
      </c>
      <c r="B40" s="1">
        <f t="shared" si="9"/>
        <v>45</v>
      </c>
      <c r="C40" s="34">
        <f t="shared" si="7"/>
        <v>0.61805555555555547</v>
      </c>
      <c r="D40" s="34">
        <f>HRGame3Table[[#This Row],[התחלה]]+TIME(0,3,0)</f>
        <v>0.6201388888888888</v>
      </c>
      <c r="E40" s="41">
        <f ca="1">IFERROR(INDEX(OFFSET('תכנית לפי קבוצות'!$C$178,$A40*4,0,4,4),MATCH(E$1,OFFSET('תכנית לפי קבוצות'!$F$178,$A40*4,0,4,1),0),1),"")</f>
        <v>34</v>
      </c>
      <c r="F40" s="41">
        <f ca="1">IFERROR(INDEX(OFFSET('תכנית לפי קבוצות'!$C$178,$A40*4,0,4,4),MATCH(F$1,OFFSET('תכנית לפי קבוצות'!$F$178,$A40*4,0,4,1),0),1),"")</f>
        <v>33</v>
      </c>
      <c r="G40" s="41">
        <f ca="1">IFERROR(INDEX(OFFSET('תכנית לפי קבוצות'!$C$178,$A40*4,0,4,4),MATCH(G$1,OFFSET('תכנית לפי קבוצות'!$F$178,$A40*4,0,4,1),0),1),"")</f>
        <v>36</v>
      </c>
      <c r="H40" s="41">
        <f ca="1">IFERROR(INDEX(OFFSET('תכנית לפי קבוצות'!$C$178,$A40*4,0,4,4),MATCH(H$1,OFFSET('תכנית לפי קבוצות'!$F$178,$A40*4,0,4,1),0),1),"")</f>
        <v>35</v>
      </c>
      <c r="I40" s="41" t="str">
        <f ca="1">IFERROR(INDEX(OFFSET('תכנית לפי קבוצות'!$C$178,$A40*4,0,4,4),MATCH(I$1,OFFSET('תכנית לפי קבוצות'!$F$178,$A40*4,0,4,1),0),1),"")</f>
        <v/>
      </c>
      <c r="J40" s="41" t="str">
        <f ca="1">IFERROR(INDEX(OFFSET('תכנית לפי קבוצות'!$C$178,$A40*4,0,4,4),MATCH(J$1,OFFSET('תכנית לפי קבוצות'!$F$178,$A40*4,0,4,1),0),1),"")</f>
        <v/>
      </c>
      <c r="K40" s="41" t="str">
        <f ca="1">IFERROR(INDEX(OFFSET('תכנית לפי קבוצות'!$C$178,$A40*4,0,4,4),MATCH(K$1,OFFSET('תכנית לפי קבוצות'!$F$178,$A40*4,0,4,1),0),1),"")</f>
        <v/>
      </c>
      <c r="L40" s="41" t="str">
        <f ca="1">IFERROR(INDEX(OFFSET('תכנית לפי קבוצות'!$C$178,$A40*4,0,4,4),MATCH(L$1,OFFSET('תכנית לפי קבוצות'!$F$178,$A40*4,0,4,1),0),1),"")</f>
        <v/>
      </c>
      <c r="M40" s="1"/>
      <c r="N40" s="1"/>
      <c r="Q40" s="4">
        <v>7</v>
      </c>
      <c r="R40" s="4" t="str">
        <f t="shared" si="10"/>
        <v>E7</v>
      </c>
      <c r="S40" s="4" t="str">
        <f t="shared" si="11"/>
        <v>F7</v>
      </c>
      <c r="T40" s="4" t="str">
        <f t="shared" si="12"/>
        <v>G7</v>
      </c>
      <c r="U40" s="4" t="str">
        <f t="shared" si="13"/>
        <v>H7</v>
      </c>
      <c r="V40" s="4" t="str">
        <f t="shared" si="14"/>
        <v>I7</v>
      </c>
      <c r="W40" s="4" t="str">
        <f t="shared" si="15"/>
        <v>J7</v>
      </c>
      <c r="X40" s="4" t="str">
        <f t="shared" si="16"/>
        <v>K7</v>
      </c>
      <c r="Y40" s="4" t="str">
        <f t="shared" si="17"/>
        <v>L7</v>
      </c>
      <c r="AA40" s="236"/>
      <c r="AB40" s="238"/>
      <c r="AC40" s="238"/>
      <c r="AD40" s="86" t="str" cm="1">
        <f t="array" aca="1" ref="AD40" ca="1">IFERROR(_xlfn.XLOOKUP(INDIRECT(R40),TeamList[מס"ד],TeamList[ישוב]),"")</f>
        <v/>
      </c>
      <c r="AE40" s="86" t="str" cm="1">
        <f t="array" aca="1" ref="AE40" ca="1">IFERROR(_xlfn.XLOOKUP(INDIRECT(S40),TeamList[מס"ד],TeamList[ישוב]),"")</f>
        <v/>
      </c>
      <c r="AF40" s="86" t="str" cm="1">
        <f t="array" aca="1" ref="AF40" ca="1">IFERROR(_xlfn.XLOOKUP(INDIRECT(T40),TeamList[מס"ד],TeamList[ישוב]),"")</f>
        <v/>
      </c>
      <c r="AG40" s="86" t="str" cm="1">
        <f t="array" aca="1" ref="AG40" ca="1">IFERROR(_xlfn.XLOOKUP(INDIRECT(U40),TeamList[מס"ד],TeamList[ישוב]),"")</f>
        <v/>
      </c>
      <c r="AH40" s="86" t="str" cm="1">
        <f t="array" aca="1" ref="AH40" ca="1">IFERROR(_xlfn.XLOOKUP(INDIRECT(V40),TeamList[מס"ד],TeamList[ישוב]),"")</f>
        <v>חצור הגלילית</v>
      </c>
      <c r="AI40" s="86" t="str" cm="1">
        <f t="array" aca="1" ref="AI40" ca="1">IFERROR(_xlfn.XLOOKUP(INDIRECT(W40),TeamList[מס"ד],TeamList[ישוב]),"")</f>
        <v>ירושלים</v>
      </c>
      <c r="AJ40" s="86" t="str" cm="1">
        <f t="array" aca="1" ref="AJ40" ca="1">IFERROR(_xlfn.XLOOKUP(INDIRECT(X40),TeamList[מס"ד],TeamList[ישוב]),"")</f>
        <v>ירושלים</v>
      </c>
      <c r="AK40" s="87" t="str" cm="1">
        <f t="array" aca="1" ref="AK40" ca="1">IFERROR(_xlfn.XLOOKUP(INDIRECT(Y40),TeamList[מס"ד],TeamList[ישוב]),"")</f>
        <v>כפר סבא</v>
      </c>
      <c r="AM40"/>
      <c r="AN40"/>
      <c r="AO40"/>
      <c r="AP40"/>
      <c r="AQ40"/>
      <c r="AR40"/>
      <c r="AS40"/>
      <c r="AT40"/>
    </row>
    <row r="41" spans="1:46" s="4" customFormat="1" ht="14.4" customHeight="1" x14ac:dyDescent="0.65">
      <c r="A41" s="35">
        <v>9</v>
      </c>
      <c r="B41" s="1">
        <f t="shared" si="9"/>
        <v>46</v>
      </c>
      <c r="C41" s="34">
        <f t="shared" si="7"/>
        <v>0.62152777777777768</v>
      </c>
      <c r="D41" s="34">
        <f>HRGame3Table[[#This Row],[התחלה]]+TIME(0,3,0)</f>
        <v>0.62361111111111101</v>
      </c>
      <c r="E41" s="41" t="str">
        <f ca="1">IFERROR(INDEX(OFFSET('תכנית לפי קבוצות'!$C$178,$A41*4,0,4,4),MATCH(E$1,OFFSET('תכנית לפי קבוצות'!$F$178,$A41*4,0,4,1),0),1),"")</f>
        <v/>
      </c>
      <c r="F41" s="41" t="str">
        <f ca="1">IFERROR(INDEX(OFFSET('תכנית לפי קבוצות'!$C$178,$A41*4,0,4,4),MATCH(F$1,OFFSET('תכנית לפי קבוצות'!$F$178,$A41*4,0,4,1),0),1),"")</f>
        <v/>
      </c>
      <c r="G41" s="41" t="str">
        <f ca="1">IFERROR(INDEX(OFFSET('תכנית לפי קבוצות'!$C$178,$A41*4,0,4,4),MATCH(G$1,OFFSET('תכנית לפי קבוצות'!$F$178,$A41*4,0,4,1),0),1),"")</f>
        <v/>
      </c>
      <c r="H41" s="41" t="str">
        <f ca="1">IFERROR(INDEX(OFFSET('תכנית לפי קבוצות'!$C$178,$A41*4,0,4,4),MATCH(H$1,OFFSET('תכנית לפי קבוצות'!$F$178,$A41*4,0,4,1),0),1),"")</f>
        <v/>
      </c>
      <c r="I41" s="41">
        <f ca="1">IFERROR(INDEX(OFFSET('תכנית לפי קבוצות'!$C$178,$A41*4,0,4,4),MATCH(I$1,OFFSET('תכנית לפי קבוצות'!$F$178,$A41*4,0,4,1),0),1),"")</f>
        <v>38</v>
      </c>
      <c r="J41" s="41">
        <f ca="1">IFERROR(INDEX(OFFSET('תכנית לפי קבוצות'!$C$178,$A41*4,0,4,4),MATCH(J$1,OFFSET('תכנית לפי קבוצות'!$F$178,$A41*4,0,4,1),0),1),"")</f>
        <v>37</v>
      </c>
      <c r="K41" s="41">
        <f ca="1">IFERROR(INDEX(OFFSET('תכנית לפי קבוצות'!$C$178,$A41*4,0,4,4),MATCH(K$1,OFFSET('תכנית לפי קבוצות'!$F$178,$A41*4,0,4,1),0),1),"")</f>
        <v>40</v>
      </c>
      <c r="L41" s="41">
        <f ca="1">IFERROR(INDEX(OFFSET('תכנית לפי קבוצות'!$C$178,$A41*4,0,4,4),MATCH(L$1,OFFSET('תכנית לפי קבוצות'!$F$178,$A41*4,0,4,1),0),1),"")</f>
        <v>39</v>
      </c>
      <c r="M41" s="1"/>
      <c r="N41" s="1"/>
      <c r="Q41" s="4">
        <v>8</v>
      </c>
      <c r="R41" s="4" t="str">
        <f t="shared" si="10"/>
        <v>E8</v>
      </c>
      <c r="S41" s="4" t="str">
        <f t="shared" si="11"/>
        <v>F8</v>
      </c>
      <c r="T41" s="4" t="str">
        <f t="shared" si="12"/>
        <v>G8</v>
      </c>
      <c r="U41" s="4" t="str">
        <f t="shared" si="13"/>
        <v>H8</v>
      </c>
      <c r="V41" s="4" t="str">
        <f t="shared" si="14"/>
        <v>I8</v>
      </c>
      <c r="W41" s="4" t="str">
        <f t="shared" si="15"/>
        <v>J8</v>
      </c>
      <c r="X41" s="4" t="str">
        <f t="shared" si="16"/>
        <v>K8</v>
      </c>
      <c r="Y41" s="4" t="str">
        <f t="shared" si="17"/>
        <v>L8</v>
      </c>
      <c r="AA41" s="231">
        <f>AA39+1</f>
        <v>17</v>
      </c>
      <c r="AB41" s="233">
        <f>AB39+ORM</f>
        <v>0.45486111111111105</v>
      </c>
      <c r="AC41" s="233">
        <f>AB41+TIME(0,3,0)</f>
        <v>0.45694444444444438</v>
      </c>
      <c r="AD41" s="23" t="str" cm="1">
        <f t="array" aca="1" ref="AD41" ca="1">IFERROR(CONCATENATE(_xlfn.XLOOKUP(INDIRECT(R41),TeamList[מס"ד],TeamList[מס'' הקבוצה])," ",_xlfn.XLOOKUP(INDIRECT(R41),TeamList[מס"ד],TeamList[שם הקבוצה])),"")</f>
        <v>1371 אלזהראוי</v>
      </c>
      <c r="AE41" s="23" t="str" cm="1">
        <f t="array" aca="1" ref="AE41" ca="1">IFERROR(CONCATENATE(_xlfn.XLOOKUP(INDIRECT(S41),TeamList[מס"ד],TeamList[מס'' הקבוצה])," ",_xlfn.XLOOKUP(INDIRECT(S41),TeamList[מס"ד],TeamList[שם הקבוצה])),"")</f>
        <v xml:space="preserve">515 אשכול פיס </v>
      </c>
      <c r="AF41" s="23" t="str" cm="1">
        <f t="array" aca="1" ref="AF41" ca="1">IFERROR(CONCATENATE(_xlfn.XLOOKUP(INDIRECT(T41),TeamList[מס"ד],TeamList[מס'' הקבוצה])," ",_xlfn.XLOOKUP(INDIRECT(T41),TeamList[מס"ד],TeamList[שם הקבוצה])),"")</f>
        <v xml:space="preserve">2954 עתידים </v>
      </c>
      <c r="AG41" s="23" t="str" cm="1">
        <f t="array" aca="1" ref="AG41" ca="1">IFERROR(CONCATENATE(_xlfn.XLOOKUP(INDIRECT(U41),TeamList[מס"ד],TeamList[מס'' הקבוצה])," ",_xlfn.XLOOKUP(INDIRECT(U41),TeamList[מס"ד],TeamList[שם הקבוצה])),"")</f>
        <v xml:space="preserve">2978 אל-קסטל </v>
      </c>
      <c r="AH41" s="23" t="str" cm="1">
        <f t="array" aca="1" ref="AH41" ca="1">IFERROR(CONCATENATE(_xlfn.XLOOKUP(INDIRECT(V41),TeamList[מס"ד],TeamList[מס'' הקבוצה])," ",_xlfn.XLOOKUP(INDIRECT(V41),TeamList[מס"ד],TeamList[שם הקבוצה])),"")</f>
        <v/>
      </c>
      <c r="AI41" s="23" t="str" cm="1">
        <f t="array" aca="1" ref="AI41" ca="1">IFERROR(CONCATENATE(_xlfn.XLOOKUP(INDIRECT(W41),TeamList[מס"ד],TeamList[מס'' הקבוצה])," ",_xlfn.XLOOKUP(INDIRECT(W41),TeamList[מס"ד],TeamList[שם הקבוצה])),"")</f>
        <v/>
      </c>
      <c r="AJ41" s="23" t="str" cm="1">
        <f t="array" aca="1" ref="AJ41" ca="1">IFERROR(CONCATENATE(_xlfn.XLOOKUP(INDIRECT(X41),TeamList[מס"ד],TeamList[מס'' הקבוצה])," ",_xlfn.XLOOKUP(INDIRECT(X41),TeamList[מס"ד],TeamList[שם הקבוצה])),"")</f>
        <v/>
      </c>
      <c r="AK41" s="73" t="str" cm="1">
        <f t="array" aca="1" ref="AK41" ca="1">IFERROR(CONCATENATE(_xlfn.XLOOKUP(INDIRECT(Y41),TeamList[מס"ד],TeamList[מס'' הקבוצה])," ",_xlfn.XLOOKUP(INDIRECT(Y41),TeamList[מס"ד],TeamList[שם הקבוצה])),"")</f>
        <v/>
      </c>
      <c r="AM41"/>
      <c r="AN41"/>
      <c r="AO41"/>
      <c r="AP41"/>
      <c r="AQ41"/>
      <c r="AR41"/>
      <c r="AS41"/>
      <c r="AT41"/>
    </row>
    <row r="42" spans="1:46" s="4" customFormat="1" ht="14.4" customHeight="1" thickBot="1" x14ac:dyDescent="0.8">
      <c r="A42" s="35">
        <v>10</v>
      </c>
      <c r="B42" s="1">
        <f t="shared" si="9"/>
        <v>47</v>
      </c>
      <c r="C42" s="34">
        <f t="shared" si="7"/>
        <v>0.62499999999999989</v>
      </c>
      <c r="D42" s="34">
        <f>HRGame3Table[[#This Row],[התחלה]]+TIME(0,3,0)</f>
        <v>0.62708333333333321</v>
      </c>
      <c r="E42" s="41">
        <f ca="1">IFERROR(INDEX(OFFSET('תכנית לפי קבוצות'!$C$178,$A42*4,0,4,4),MATCH(E$1,OFFSET('תכנית לפי קבוצות'!$F$178,$A42*4,0,4,1),0),1),"")</f>
        <v>42</v>
      </c>
      <c r="F42" s="41">
        <f ca="1">IFERROR(INDEX(OFFSET('תכנית לפי קבוצות'!$C$178,$A42*4,0,4,4),MATCH(F$1,OFFSET('תכנית לפי קבוצות'!$F$178,$A42*4,0,4,1),0),1),"")</f>
        <v>41</v>
      </c>
      <c r="G42" s="41">
        <f ca="1">IFERROR(INDEX(OFFSET('תכנית לפי קבוצות'!$C$178,$A42*4,0,4,4),MATCH(G$1,OFFSET('תכנית לפי קבוצות'!$F$178,$A42*4,0,4,1),0),1),"")</f>
        <v>44</v>
      </c>
      <c r="H42" s="41">
        <f ca="1">IFERROR(INDEX(OFFSET('תכנית לפי קבוצות'!$C$178,$A42*4,0,4,4),MATCH(H$1,OFFSET('תכנית לפי קבוצות'!$F$178,$A42*4,0,4,1),0),1),"")</f>
        <v>43</v>
      </c>
      <c r="I42" s="41" t="str">
        <f ca="1">IFERROR(INDEX(OFFSET('תכנית לפי קבוצות'!$C$178,$A42*4,0,4,4),MATCH(I$1,OFFSET('תכנית לפי קבוצות'!$F$178,$A42*4,0,4,1),0),1),"")</f>
        <v/>
      </c>
      <c r="J42" s="41" t="str">
        <f ca="1">IFERROR(INDEX(OFFSET('תכנית לפי קבוצות'!$C$178,$A42*4,0,4,4),MATCH(J$1,OFFSET('תכנית לפי קבוצות'!$F$178,$A42*4,0,4,1),0),1),"")</f>
        <v/>
      </c>
      <c r="K42" s="41" t="str">
        <f ca="1">IFERROR(INDEX(OFFSET('תכנית לפי קבוצות'!$C$178,$A42*4,0,4,4),MATCH(K$1,OFFSET('תכנית לפי קבוצות'!$F$178,$A42*4,0,4,1),0),1),"")</f>
        <v/>
      </c>
      <c r="L42" s="41" t="str">
        <f ca="1">IFERROR(INDEX(OFFSET('תכנית לפי קבוצות'!$C$178,$A42*4,0,4,4),MATCH(L$1,OFFSET('תכנית לפי קבוצות'!$F$178,$A42*4,0,4,1),0),1),"")</f>
        <v/>
      </c>
      <c r="M42" s="1"/>
      <c r="N42" s="1"/>
      <c r="Q42" s="4">
        <v>9</v>
      </c>
      <c r="R42" s="4" t="str">
        <f t="shared" si="10"/>
        <v>E8</v>
      </c>
      <c r="S42" s="4" t="str">
        <f t="shared" si="11"/>
        <v>F8</v>
      </c>
      <c r="T42" s="4" t="str">
        <f t="shared" si="12"/>
        <v>G8</v>
      </c>
      <c r="U42" s="4" t="str">
        <f t="shared" si="13"/>
        <v>H8</v>
      </c>
      <c r="V42" s="4" t="str">
        <f t="shared" si="14"/>
        <v>I8</v>
      </c>
      <c r="W42" s="4" t="str">
        <f t="shared" si="15"/>
        <v>J8</v>
      </c>
      <c r="X42" s="4" t="str">
        <f t="shared" si="16"/>
        <v>K8</v>
      </c>
      <c r="Y42" s="4" t="str">
        <f t="shared" si="17"/>
        <v>L8</v>
      </c>
      <c r="AA42" s="232"/>
      <c r="AB42" s="234"/>
      <c r="AC42" s="234"/>
      <c r="AD42" s="84" t="str" cm="1">
        <f t="array" aca="1" ref="AD42" ca="1">IFERROR(_xlfn.XLOOKUP(INDIRECT(R42),TeamList[מס"ד],TeamList[ישוב]),"")</f>
        <v>אכסאל</v>
      </c>
      <c r="AE42" s="84" t="str" cm="1">
        <f t="array" aca="1" ref="AE42" ca="1">IFERROR(_xlfn.XLOOKUP(INDIRECT(S42),TeamList[מס"ד],TeamList[ישוב]),"")</f>
        <v>נס ציונה</v>
      </c>
      <c r="AF42" s="84" t="str" cm="1">
        <f t="array" aca="1" ref="AF42" ca="1">IFERROR(_xlfn.XLOOKUP(INDIRECT(T42),TeamList[מס"ד],TeamList[ישוב]),"")</f>
        <v>חולון</v>
      </c>
      <c r="AG42" s="84" t="str" cm="1">
        <f t="array" aca="1" ref="AG42" ca="1">IFERROR(_xlfn.XLOOKUP(INDIRECT(U42),TeamList[מס"ד],TeamList[ישוב]),"")</f>
        <v>נצרת</v>
      </c>
      <c r="AH42" s="84" t="str" cm="1">
        <f t="array" aca="1" ref="AH42" ca="1">IFERROR(_xlfn.XLOOKUP(INDIRECT(V42),TeamList[מס"ד],TeamList[ישוב]),"")</f>
        <v/>
      </c>
      <c r="AI42" s="84" t="str" cm="1">
        <f t="array" aca="1" ref="AI42" ca="1">IFERROR(_xlfn.XLOOKUP(INDIRECT(W42),TeamList[מס"ד],TeamList[ישוב]),"")</f>
        <v/>
      </c>
      <c r="AJ42" s="84" t="str" cm="1">
        <f t="array" aca="1" ref="AJ42" ca="1">IFERROR(_xlfn.XLOOKUP(INDIRECT(X42),TeamList[מס"ד],TeamList[ישוב]),"")</f>
        <v/>
      </c>
      <c r="AK42" s="85" t="str" cm="1">
        <f t="array" aca="1" ref="AK42" ca="1">IFERROR(_xlfn.XLOOKUP(INDIRECT(Y42),TeamList[מס"ד],TeamList[ישוב]),"")</f>
        <v/>
      </c>
      <c r="AM42"/>
      <c r="AN42"/>
      <c r="AO42"/>
      <c r="AP42"/>
      <c r="AQ42"/>
      <c r="AR42"/>
      <c r="AS42"/>
      <c r="AT42"/>
    </row>
    <row r="43" spans="1:46" s="4" customFormat="1" ht="14.4" customHeight="1" x14ac:dyDescent="0.65">
      <c r="A43" s="35">
        <v>11</v>
      </c>
      <c r="B43" s="1">
        <f t="shared" si="9"/>
        <v>48</v>
      </c>
      <c r="C43" s="34">
        <f t="shared" si="7"/>
        <v>0.6284722222222221</v>
      </c>
      <c r="D43" s="34">
        <f>HRGame3Table[[#This Row],[התחלה]]+TIME(0,3,0)</f>
        <v>0.63055555555555542</v>
      </c>
      <c r="E43" s="41" t="str">
        <f ca="1">IFERROR(INDEX(OFFSET('תכנית לפי קבוצות'!$C$178,$A43*4,0,4,4),MATCH(E$1,OFFSET('תכנית לפי קבוצות'!$F$178,$A43*4,0,4,1),0),1),"")</f>
        <v/>
      </c>
      <c r="F43" s="41" t="str">
        <f ca="1">IFERROR(INDEX(OFFSET('תכנית לפי קבוצות'!$C$178,$A43*4,0,4,4),MATCH(F$1,OFFSET('תכנית לפי קבוצות'!$F$178,$A43*4,0,4,1),0),1),"")</f>
        <v/>
      </c>
      <c r="G43" s="41" t="str">
        <f ca="1">IFERROR(INDEX(OFFSET('תכנית לפי קבוצות'!$C$178,$A43*4,0,4,4),MATCH(G$1,OFFSET('תכנית לפי קבוצות'!$F$178,$A43*4,0,4,1),0),1),"")</f>
        <v/>
      </c>
      <c r="H43" s="41" t="str">
        <f ca="1">IFERROR(INDEX(OFFSET('תכנית לפי קבוצות'!$C$178,$A43*4,0,4,4),MATCH(H$1,OFFSET('תכנית לפי קבוצות'!$F$178,$A43*4,0,4,1),0),1),"")</f>
        <v/>
      </c>
      <c r="I43" s="41">
        <f ca="1">IFERROR(INDEX(OFFSET('תכנית לפי קבוצות'!$C$178,$A43*4,0,4,4),MATCH(I$1,OFFSET('תכנית לפי קבוצות'!$F$178,$A43*4,0,4,1),0),1),"")</f>
        <v>46</v>
      </c>
      <c r="J43" s="41">
        <f ca="1">IFERROR(INDEX(OFFSET('תכנית לפי קבוצות'!$C$178,$A43*4,0,4,4),MATCH(J$1,OFFSET('תכנית לפי קבוצות'!$F$178,$A43*4,0,4,1),0),1),"")</f>
        <v>45</v>
      </c>
      <c r="K43" s="41">
        <f ca="1">IFERROR(INDEX(OFFSET('תכנית לפי קבוצות'!$C$178,$A43*4,0,4,4),MATCH(K$1,OFFSET('תכנית לפי קבוצות'!$F$178,$A43*4,0,4,1),0),1),"")</f>
        <v>48</v>
      </c>
      <c r="L43" s="41">
        <f ca="1">IFERROR(INDEX(OFFSET('תכנית לפי קבוצות'!$C$178,$A43*4,0,4,4),MATCH(L$1,OFFSET('תכנית לפי קבוצות'!$F$178,$A43*4,0,4,1),0),1),"")</f>
        <v>47</v>
      </c>
      <c r="M43" s="1"/>
      <c r="N43" s="1"/>
      <c r="Q43" s="4">
        <v>10</v>
      </c>
      <c r="R43" s="4" t="str">
        <f t="shared" si="10"/>
        <v>E9</v>
      </c>
      <c r="S43" s="4" t="str">
        <f t="shared" si="11"/>
        <v>F9</v>
      </c>
      <c r="T43" s="4" t="str">
        <f t="shared" si="12"/>
        <v>G9</v>
      </c>
      <c r="U43" s="4" t="str">
        <f t="shared" si="13"/>
        <v>H9</v>
      </c>
      <c r="V43" s="4" t="str">
        <f t="shared" si="14"/>
        <v>I9</v>
      </c>
      <c r="W43" s="4" t="str">
        <f t="shared" si="15"/>
        <v>J9</v>
      </c>
      <c r="X43" s="4" t="str">
        <f t="shared" si="16"/>
        <v>K9</v>
      </c>
      <c r="Y43" s="4" t="str">
        <f t="shared" si="17"/>
        <v>L9</v>
      </c>
      <c r="AA43" s="235">
        <f>AA41+1</f>
        <v>18</v>
      </c>
      <c r="AB43" s="237">
        <f>AB41+ORM</f>
        <v>0.45833333333333326</v>
      </c>
      <c r="AC43" s="237">
        <f>AB43+TIME(0,3,0)</f>
        <v>0.46041666666666659</v>
      </c>
      <c r="AD43" s="24" t="str" cm="1">
        <f t="array" aca="1" ref="AD43" ca="1">IFERROR(CONCATENATE(_xlfn.XLOOKUP(INDIRECT(R43),TeamList[מס"ד],TeamList[מס'' הקבוצה])," ",_xlfn.XLOOKUP(INDIRECT(R43),TeamList[מס"ד],TeamList[שם הקבוצה])),"")</f>
        <v/>
      </c>
      <c r="AE43" s="24" t="str" cm="1">
        <f t="array" aca="1" ref="AE43" ca="1">IFERROR(CONCATENATE(_xlfn.XLOOKUP(INDIRECT(S43),TeamList[מס"ד],TeamList[מס'' הקבוצה])," ",_xlfn.XLOOKUP(INDIRECT(S43),TeamList[מס"ד],TeamList[שם הקבוצה])),"")</f>
        <v/>
      </c>
      <c r="AF43" s="24" t="str" cm="1">
        <f t="array" aca="1" ref="AF43" ca="1">IFERROR(CONCATENATE(_xlfn.XLOOKUP(INDIRECT(T43),TeamList[מס"ד],TeamList[מס'' הקבוצה])," ",_xlfn.XLOOKUP(INDIRECT(T43),TeamList[מס"ד],TeamList[שם הקבוצה])),"")</f>
        <v/>
      </c>
      <c r="AG43" s="24" t="str" cm="1">
        <f t="array" aca="1" ref="AG43" ca="1">IFERROR(CONCATENATE(_xlfn.XLOOKUP(INDIRECT(U43),TeamList[מס"ד],TeamList[מס'' הקבוצה])," ",_xlfn.XLOOKUP(INDIRECT(U43),TeamList[מס"ד],TeamList[שם הקבוצה])),"")</f>
        <v/>
      </c>
      <c r="AH43" s="24" t="str" cm="1">
        <f t="array" aca="1" ref="AH43" ca="1">IFERROR(CONCATENATE(_xlfn.XLOOKUP(INDIRECT(V43),TeamList[מס"ד],TeamList[מס'' הקבוצה])," ",_xlfn.XLOOKUP(INDIRECT(V43),TeamList[מס"ד],TeamList[שם הקבוצה])),"")</f>
        <v>3139 ידלין</v>
      </c>
      <c r="AI43" s="24" t="str" cm="1">
        <f t="array" aca="1" ref="AI43" ca="1">IFERROR(CONCATENATE(_xlfn.XLOOKUP(INDIRECT(W43),TeamList[מס"ד],TeamList[מס'' הקבוצה])," ",_xlfn.XLOOKUP(INDIRECT(W43),TeamList[מס"ד],TeamList[שם הקבוצה])),"")</f>
        <v>3185 תיכון דרך</v>
      </c>
      <c r="AJ43" s="24" t="str" cm="1">
        <f t="array" aca="1" ref="AJ43" ca="1">IFERROR(CONCATENATE(_xlfn.XLOOKUP(INDIRECT(X43),TeamList[מס"ד],TeamList[מס'' הקבוצה])," ",_xlfn.XLOOKUP(INDIRECT(X43),TeamList[מס"ד],TeamList[שם הקבוצה])),"")</f>
        <v>2623 גינסבורג</v>
      </c>
      <c r="AK43" s="72" t="str" cm="1">
        <f t="array" aca="1" ref="AK43" ca="1">IFERROR(CONCATENATE(_xlfn.XLOOKUP(INDIRECT(Y43),TeamList[מס"ד],TeamList[מס'' הקבוצה])," ",_xlfn.XLOOKUP(INDIRECT(Y43),TeamList[מס"ד],TeamList[שם הקבוצה])),"")</f>
        <v xml:space="preserve">588 אבן סינא </v>
      </c>
      <c r="AM43"/>
      <c r="AN43"/>
      <c r="AO43"/>
      <c r="AP43"/>
      <c r="AQ43"/>
      <c r="AR43"/>
      <c r="AS43"/>
      <c r="AT43"/>
    </row>
    <row r="44" spans="1:46" s="4" customFormat="1" ht="13.9" customHeight="1" thickBot="1" x14ac:dyDescent="0.8">
      <c r="M44" s="1"/>
      <c r="N44" s="1"/>
      <c r="Q44" s="4">
        <v>11</v>
      </c>
      <c r="R44" s="4" t="str">
        <f t="shared" si="10"/>
        <v>E9</v>
      </c>
      <c r="S44" s="4" t="str">
        <f t="shared" si="11"/>
        <v>F9</v>
      </c>
      <c r="T44" s="4" t="str">
        <f t="shared" si="12"/>
        <v>G9</v>
      </c>
      <c r="U44" s="4" t="str">
        <f t="shared" si="13"/>
        <v>H9</v>
      </c>
      <c r="V44" s="4" t="str">
        <f t="shared" si="14"/>
        <v>I9</v>
      </c>
      <c r="W44" s="4" t="str">
        <f t="shared" si="15"/>
        <v>J9</v>
      </c>
      <c r="X44" s="4" t="str">
        <f t="shared" si="16"/>
        <v>K9</v>
      </c>
      <c r="Y44" s="4" t="str">
        <f t="shared" si="17"/>
        <v>L9</v>
      </c>
      <c r="AA44" s="236"/>
      <c r="AB44" s="238"/>
      <c r="AC44" s="238"/>
      <c r="AD44" s="86" t="str" cm="1">
        <f t="array" aca="1" ref="AD44" ca="1">IFERROR(_xlfn.XLOOKUP(INDIRECT(R44),TeamList[מס"ד],TeamList[ישוב]),"")</f>
        <v/>
      </c>
      <c r="AE44" s="86" t="str" cm="1">
        <f t="array" aca="1" ref="AE44" ca="1">IFERROR(_xlfn.XLOOKUP(INDIRECT(S44),TeamList[מס"ד],TeamList[ישוב]),"")</f>
        <v/>
      </c>
      <c r="AF44" s="86" t="str" cm="1">
        <f t="array" aca="1" ref="AF44" ca="1">IFERROR(_xlfn.XLOOKUP(INDIRECT(T44),TeamList[מס"ד],TeamList[ישוב]),"")</f>
        <v/>
      </c>
      <c r="AG44" s="86" t="str" cm="1">
        <f t="array" aca="1" ref="AG44" ca="1">IFERROR(_xlfn.XLOOKUP(INDIRECT(U44),TeamList[מס"ד],TeamList[ישוב]),"")</f>
        <v/>
      </c>
      <c r="AH44" s="86" t="str" cm="1">
        <f t="array" aca="1" ref="AH44" ca="1">IFERROR(_xlfn.XLOOKUP(INDIRECT(V44),TeamList[מס"ד],TeamList[ישוב]),"")</f>
        <v>ראשון לציון</v>
      </c>
      <c r="AI44" s="86" t="str" cm="1">
        <f t="array" aca="1" ref="AI44" ca="1">IFERROR(_xlfn.XLOOKUP(INDIRECT(W44),TeamList[מס"ד],TeamList[ישוב]),"")</f>
        <v>ירושלים</v>
      </c>
      <c r="AJ44" s="86" t="str" cm="1">
        <f t="array" aca="1" ref="AJ44" ca="1">IFERROR(_xlfn.XLOOKUP(INDIRECT(X44),TeamList[מס"ד],TeamList[ישוב]),"")</f>
        <v>יבנה</v>
      </c>
      <c r="AK44" s="87" t="str" cm="1">
        <f t="array" aca="1" ref="AK44" ca="1">IFERROR(_xlfn.XLOOKUP(INDIRECT(Y44),TeamList[מס"ד],TeamList[ישוב]),"")</f>
        <v>כפר קרע</v>
      </c>
      <c r="AM44"/>
      <c r="AN44"/>
      <c r="AO44"/>
      <c r="AP44"/>
      <c r="AQ44"/>
      <c r="AR44"/>
      <c r="AS44"/>
      <c r="AT44"/>
    </row>
    <row r="45" spans="1:46" s="4" customFormat="1" ht="13.9" customHeight="1" x14ac:dyDescent="0.65">
      <c r="A45"/>
      <c r="B45"/>
      <c r="C45"/>
      <c r="D45"/>
      <c r="E45"/>
      <c r="F45"/>
      <c r="G45"/>
      <c r="H45"/>
      <c r="I45"/>
      <c r="J45"/>
      <c r="K45"/>
      <c r="L45"/>
      <c r="M45" s="1"/>
      <c r="N45" s="1"/>
      <c r="Q45" s="4">
        <v>12</v>
      </c>
      <c r="R45" s="4" t="str">
        <f t="shared" si="10"/>
        <v>E10</v>
      </c>
      <c r="S45" s="4" t="str">
        <f t="shared" si="11"/>
        <v>F10</v>
      </c>
      <c r="T45" s="4" t="str">
        <f t="shared" si="12"/>
        <v>G10</v>
      </c>
      <c r="U45" s="4" t="str">
        <f t="shared" si="13"/>
        <v>H10</v>
      </c>
      <c r="V45" s="4" t="str">
        <f t="shared" si="14"/>
        <v>I10</v>
      </c>
      <c r="W45" s="4" t="str">
        <f t="shared" si="15"/>
        <v>J10</v>
      </c>
      <c r="X45" s="4" t="str">
        <f t="shared" si="16"/>
        <v>K10</v>
      </c>
      <c r="Y45" s="4" t="str">
        <f t="shared" si="17"/>
        <v>L10</v>
      </c>
      <c r="AA45" s="231">
        <f>AA43+1</f>
        <v>19</v>
      </c>
      <c r="AB45" s="233">
        <f>AB43+ORM</f>
        <v>0.46180555555555547</v>
      </c>
      <c r="AC45" s="233">
        <f>AB45+TIME(0,3,0)</f>
        <v>0.4638888888888888</v>
      </c>
      <c r="AD45" s="219" t="str" cm="1">
        <f t="array" aca="1" ref="AD45" ca="1">IFERROR(CONCATENATE(_xlfn.XLOOKUP(INDIRECT(R45),TeamList[מס"ד],TeamList[מס'' הקבוצה])," ",_xlfn.XLOOKUP(INDIRECT(R45),TeamList[מס"ד],TeamList[שם הקבוצה])),"")</f>
        <v xml:space="preserve">1300 מרכז מחוננים </v>
      </c>
      <c r="AE45" s="23" t="str" cm="1">
        <f t="array" aca="1" ref="AE45" ca="1">IFERROR(CONCATENATE(_xlfn.XLOOKUP(INDIRECT(S45),TeamList[מס"ד],TeamList[מס'' הקבוצה])," ",_xlfn.XLOOKUP(INDIRECT(S45),TeamList[מס"ד],TeamList[שם הקבוצה])),"")</f>
        <v xml:space="preserve">3128 נרייה </v>
      </c>
      <c r="AF45" s="23" t="str" cm="1">
        <f t="array" aca="1" ref="AF45" ca="1">IFERROR(CONCATENATE(_xlfn.XLOOKUP(INDIRECT(T45),TeamList[מס"ד],TeamList[מס'' הקבוצה])," ",_xlfn.XLOOKUP(INDIRECT(T45),TeamList[מס"ד],TeamList[שם הקבוצה])),"")</f>
        <v xml:space="preserve">1324 עירוני ד </v>
      </c>
      <c r="AG45" s="23" t="str" cm="1">
        <f t="array" aca="1" ref="AG45" ca="1">IFERROR(CONCATENATE(_xlfn.XLOOKUP(INDIRECT(U45),TeamList[מס"ד],TeamList[מס'' הקבוצה])," ",_xlfn.XLOOKUP(INDIRECT(U45),TeamList[מס"ד],TeamList[שם הקבוצה])),"")</f>
        <v>1616 אילן רמון</v>
      </c>
      <c r="AH45" s="23" t="str" cm="1">
        <f t="array" aca="1" ref="AH45" ca="1">IFERROR(CONCATENATE(_xlfn.XLOOKUP(INDIRECT(V45),TeamList[מס"ד],TeamList[מס'' הקבוצה])," ",_xlfn.XLOOKUP(INDIRECT(V45),TeamList[מס"ד],TeamList[שם הקבוצה])),"")</f>
        <v/>
      </c>
      <c r="AI45" s="23" t="str" cm="1">
        <f t="array" aca="1" ref="AI45" ca="1">IFERROR(CONCATENATE(_xlfn.XLOOKUP(INDIRECT(W45),TeamList[מס"ד],TeamList[מס'' הקבוצה])," ",_xlfn.XLOOKUP(INDIRECT(W45),TeamList[מס"ד],TeamList[שם הקבוצה])),"")</f>
        <v/>
      </c>
      <c r="AJ45" s="23" t="str" cm="1">
        <f t="array" aca="1" ref="AJ45" ca="1">IFERROR(CONCATENATE(_xlfn.XLOOKUP(INDIRECT(X45),TeamList[מס"ד],TeamList[מס'' הקבוצה])," ",_xlfn.XLOOKUP(INDIRECT(X45),TeamList[מס"ד],TeamList[שם הקבוצה])),"")</f>
        <v/>
      </c>
      <c r="AK45" s="73" t="str" cm="1">
        <f t="array" aca="1" ref="AK45" ca="1">IFERROR(CONCATENATE(_xlfn.XLOOKUP(INDIRECT(Y45),TeamList[מס"ד],TeamList[מס'' הקבוצה])," ",_xlfn.XLOOKUP(INDIRECT(Y45),TeamList[מס"ד],TeamList[שם הקבוצה])),"")</f>
        <v/>
      </c>
      <c r="AM45"/>
      <c r="AN45"/>
      <c r="AO45"/>
      <c r="AP45"/>
      <c r="AQ45"/>
      <c r="AR45"/>
      <c r="AS45"/>
      <c r="AT45"/>
    </row>
    <row r="46" spans="1:46" s="4" customFormat="1" ht="13.9" customHeight="1" thickBot="1" x14ac:dyDescent="0.8">
      <c r="A46"/>
      <c r="B46"/>
      <c r="C46"/>
      <c r="D46"/>
      <c r="E46"/>
      <c r="F46"/>
      <c r="G46"/>
      <c r="H46"/>
      <c r="I46"/>
      <c r="J46"/>
      <c r="K46"/>
      <c r="L46"/>
      <c r="M46" s="1"/>
      <c r="N46" s="1"/>
      <c r="Q46" s="4">
        <v>13</v>
      </c>
      <c r="R46" s="4" t="str">
        <f t="shared" si="10"/>
        <v>E10</v>
      </c>
      <c r="S46" s="4" t="str">
        <f t="shared" si="11"/>
        <v>F10</v>
      </c>
      <c r="T46" s="4" t="str">
        <f t="shared" si="12"/>
        <v>G10</v>
      </c>
      <c r="U46" s="4" t="str">
        <f t="shared" si="13"/>
        <v>H10</v>
      </c>
      <c r="V46" s="4" t="str">
        <f t="shared" si="14"/>
        <v>I10</v>
      </c>
      <c r="W46" s="4" t="str">
        <f t="shared" si="15"/>
        <v>J10</v>
      </c>
      <c r="X46" s="4" t="str">
        <f t="shared" si="16"/>
        <v>K10</v>
      </c>
      <c r="Y46" s="4" t="str">
        <f t="shared" si="17"/>
        <v>L10</v>
      </c>
      <c r="AA46" s="232"/>
      <c r="AB46" s="234"/>
      <c r="AC46" s="234"/>
      <c r="AD46" s="84" t="str" cm="1">
        <f t="array" aca="1" ref="AD46" ca="1">IFERROR(_xlfn.XLOOKUP(INDIRECT(R46),TeamList[מס"ד],TeamList[ישוב]),"")</f>
        <v>עראבה</v>
      </c>
      <c r="AE46" s="84" t="str" cm="1">
        <f t="array" aca="1" ref="AE46" ca="1">IFERROR(_xlfn.XLOOKUP(INDIRECT(S46),TeamList[מס"ד],TeamList[ישוב]),"")</f>
        <v>בית הגדי</v>
      </c>
      <c r="AF46" s="84" t="str" cm="1">
        <f t="array" aca="1" ref="AF46" ca="1">IFERROR(_xlfn.XLOOKUP(INDIRECT(T46),TeamList[מס"ד],TeamList[ישוב]),"")</f>
        <v>מודיעין-מכבים-רעות</v>
      </c>
      <c r="AG46" s="84" t="str" cm="1">
        <f t="array" aca="1" ref="AG46" ca="1">IFERROR(_xlfn.XLOOKUP(INDIRECT(U46),TeamList[מס"ד],TeamList[ישוב]),"")</f>
        <v>כפר סבא</v>
      </c>
      <c r="AH46" s="84" t="str" cm="1">
        <f t="array" aca="1" ref="AH46" ca="1">IFERROR(_xlfn.XLOOKUP(INDIRECT(V46),TeamList[מס"ד],TeamList[ישוב]),"")</f>
        <v/>
      </c>
      <c r="AI46" s="84" t="str" cm="1">
        <f t="array" aca="1" ref="AI46" ca="1">IFERROR(_xlfn.XLOOKUP(INDIRECT(W46),TeamList[מס"ד],TeamList[ישוב]),"")</f>
        <v/>
      </c>
      <c r="AJ46" s="84" t="str" cm="1">
        <f t="array" aca="1" ref="AJ46" ca="1">IFERROR(_xlfn.XLOOKUP(INDIRECT(X46),TeamList[מס"ד],TeamList[ישוב]),"")</f>
        <v/>
      </c>
      <c r="AK46" s="85" t="str" cm="1">
        <f t="array" aca="1" ref="AK46" ca="1">IFERROR(_xlfn.XLOOKUP(INDIRECT(Y46),TeamList[מס"ד],TeamList[ישוב]),"")</f>
        <v/>
      </c>
      <c r="AM46"/>
      <c r="AN46"/>
      <c r="AO46"/>
      <c r="AP46"/>
      <c r="AQ46"/>
      <c r="AR46"/>
      <c r="AS46"/>
      <c r="AT46"/>
    </row>
    <row r="47" spans="1:46" s="4" customFormat="1" ht="13.9" customHeight="1" x14ac:dyDescent="0.65">
      <c r="A47"/>
      <c r="B47"/>
      <c r="C47"/>
      <c r="D47"/>
      <c r="E47"/>
      <c r="F47"/>
      <c r="G47"/>
      <c r="H47"/>
      <c r="I47"/>
      <c r="J47"/>
      <c r="K47"/>
      <c r="L47"/>
      <c r="M47" s="1"/>
      <c r="N47" s="1"/>
      <c r="Q47" s="4">
        <v>14</v>
      </c>
      <c r="R47" s="4" t="str">
        <f t="shared" si="10"/>
        <v>E11</v>
      </c>
      <c r="S47" s="4" t="str">
        <f t="shared" si="11"/>
        <v>F11</v>
      </c>
      <c r="T47" s="4" t="str">
        <f t="shared" si="12"/>
        <v>G11</v>
      </c>
      <c r="U47" s="4" t="str">
        <f t="shared" si="13"/>
        <v>H11</v>
      </c>
      <c r="V47" s="4" t="str">
        <f t="shared" si="14"/>
        <v>I11</v>
      </c>
      <c r="W47" s="4" t="str">
        <f t="shared" si="15"/>
        <v>J11</v>
      </c>
      <c r="X47" s="4" t="str">
        <f t="shared" si="16"/>
        <v>K11</v>
      </c>
      <c r="Y47" s="4" t="str">
        <f t="shared" si="17"/>
        <v>L11</v>
      </c>
      <c r="AA47" s="235">
        <f>AA45+1</f>
        <v>20</v>
      </c>
      <c r="AB47" s="237">
        <f>AB45+ORM</f>
        <v>0.46527777777777768</v>
      </c>
      <c r="AC47" s="237">
        <f>AB47+TIME(0,3,0)</f>
        <v>0.46736111111111101</v>
      </c>
      <c r="AD47" s="24" t="str" cm="1">
        <f t="array" aca="1" ref="AD47" ca="1">IFERROR(CONCATENATE(_xlfn.XLOOKUP(INDIRECT(R47),TeamList[מס"ד],TeamList[מס'' הקבוצה])," ",_xlfn.XLOOKUP(INDIRECT(R47),TeamList[מס"ד],TeamList[שם הקבוצה])),"")</f>
        <v/>
      </c>
      <c r="AE47" s="24" t="str" cm="1">
        <f t="array" aca="1" ref="AE47" ca="1">IFERROR(CONCATENATE(_xlfn.XLOOKUP(INDIRECT(S47),TeamList[מס"ד],TeamList[מס'' הקבוצה])," ",_xlfn.XLOOKUP(INDIRECT(S47),TeamList[מס"ד],TeamList[שם הקבוצה])),"")</f>
        <v/>
      </c>
      <c r="AF47" s="24" t="str" cm="1">
        <f t="array" aca="1" ref="AF47" ca="1">IFERROR(CONCATENATE(_xlfn.XLOOKUP(INDIRECT(T47),TeamList[מס"ד],TeamList[מס'' הקבוצה])," ",_xlfn.XLOOKUP(INDIRECT(T47),TeamList[מס"ד],TeamList[שם הקבוצה])),"")</f>
        <v/>
      </c>
      <c r="AG47" s="24" t="str" cm="1">
        <f t="array" aca="1" ref="AG47" ca="1">IFERROR(CONCATENATE(_xlfn.XLOOKUP(INDIRECT(U47),TeamList[מס"ד],TeamList[מס'' הקבוצה])," ",_xlfn.XLOOKUP(INDIRECT(U47),TeamList[מס"ד],TeamList[שם הקבוצה])),"")</f>
        <v/>
      </c>
      <c r="AH47" s="24" t="str" cm="1">
        <f t="array" aca="1" ref="AH47" ca="1">IFERROR(CONCATENATE(_xlfn.XLOOKUP(INDIRECT(V47),TeamList[מס"ד],TeamList[מס'' הקבוצה])," ",_xlfn.XLOOKUP(INDIRECT(V47),TeamList[מס"ד],TeamList[שם הקבוצה])),"")</f>
        <v xml:space="preserve">3340 עמי אסף </v>
      </c>
      <c r="AI47" s="24" t="str" cm="1">
        <f t="array" aca="1" ref="AI47" ca="1">IFERROR(CONCATENATE(_xlfn.XLOOKUP(INDIRECT(W47),TeamList[מס"ד],TeamList[מס'' הקבוצה])," ",_xlfn.XLOOKUP(INDIRECT(W47),TeamList[מס"ד],TeamList[שם הקבוצה])),"")</f>
        <v>1099 אפרתה</v>
      </c>
      <c r="AJ47" s="24" t="str" cm="1">
        <f t="array" aca="1" ref="AJ47" ca="1">IFERROR(CONCATENATE(_xlfn.XLOOKUP(INDIRECT(X47),TeamList[מס"ד],TeamList[מס'' הקבוצה])," ",_xlfn.XLOOKUP(INDIRECT(X47),TeamList[מס"ד],TeamList[שם הקבוצה])),"")</f>
        <v>2622 גינסבורג</v>
      </c>
      <c r="AK47" s="72" t="str" cm="1">
        <f t="array" aca="1" ref="AK47" ca="1">IFERROR(CONCATENATE(_xlfn.XLOOKUP(INDIRECT(Y47),TeamList[מס"ד],TeamList[מס'' הקבוצה])," ",_xlfn.XLOOKUP(INDIRECT(Y47),TeamList[מס"ד],TeamList[שם הקבוצה])),"")</f>
        <v>1214 אל זהראא ב</v>
      </c>
      <c r="AM47"/>
      <c r="AN47"/>
      <c r="AO47"/>
      <c r="AP47"/>
      <c r="AQ47"/>
      <c r="AR47"/>
      <c r="AS47"/>
      <c r="AT47"/>
    </row>
    <row r="48" spans="1:46" s="4" customFormat="1" ht="13.9" customHeight="1" thickBot="1" x14ac:dyDescent="0.8">
      <c r="A48"/>
      <c r="B48"/>
      <c r="C48"/>
      <c r="D48"/>
      <c r="E48"/>
      <c r="F48"/>
      <c r="G48"/>
      <c r="H48"/>
      <c r="I48"/>
      <c r="J48"/>
      <c r="K48"/>
      <c r="L48"/>
      <c r="M48" s="1"/>
      <c r="N48" s="1"/>
      <c r="Q48" s="4">
        <v>15</v>
      </c>
      <c r="R48" s="4" t="str">
        <f t="shared" si="10"/>
        <v>E11</v>
      </c>
      <c r="S48" s="4" t="str">
        <f t="shared" si="11"/>
        <v>F11</v>
      </c>
      <c r="T48" s="4" t="str">
        <f t="shared" si="12"/>
        <v>G11</v>
      </c>
      <c r="U48" s="4" t="str">
        <f t="shared" si="13"/>
        <v>H11</v>
      </c>
      <c r="V48" s="4" t="str">
        <f t="shared" si="14"/>
        <v>I11</v>
      </c>
      <c r="W48" s="4" t="str">
        <f t="shared" si="15"/>
        <v>J11</v>
      </c>
      <c r="X48" s="4" t="str">
        <f t="shared" si="16"/>
        <v>K11</v>
      </c>
      <c r="Y48" s="4" t="str">
        <f t="shared" si="17"/>
        <v>L11</v>
      </c>
      <c r="AA48" s="236"/>
      <c r="AB48" s="238"/>
      <c r="AC48" s="238"/>
      <c r="AD48" s="86" t="str" cm="1">
        <f t="array" aca="1" ref="AD48" ca="1">IFERROR(_xlfn.XLOOKUP(INDIRECT(R48),TeamList[מס"ד],TeamList[ישוב]),"")</f>
        <v/>
      </c>
      <c r="AE48" s="86" t="str" cm="1">
        <f t="array" aca="1" ref="AE48" ca="1">IFERROR(_xlfn.XLOOKUP(INDIRECT(S48),TeamList[מס"ד],TeamList[ישוב]),"")</f>
        <v/>
      </c>
      <c r="AF48" s="86" t="str" cm="1">
        <f t="array" aca="1" ref="AF48" ca="1">IFERROR(_xlfn.XLOOKUP(INDIRECT(T48),TeamList[מס"ד],TeamList[ישוב]),"")</f>
        <v/>
      </c>
      <c r="AG48" s="86" t="str" cm="1">
        <f t="array" aca="1" ref="AG48" ca="1">IFERROR(_xlfn.XLOOKUP(INDIRECT(U48),TeamList[מס"ד],TeamList[ישוב]),"")</f>
        <v/>
      </c>
      <c r="AH48" s="86" t="str" cm="1">
        <f t="array" aca="1" ref="AH48" ca="1">IFERROR(_xlfn.XLOOKUP(INDIRECT(V48),TeamList[מס"ד],TeamList[ישוב]),"")</f>
        <v>דימונה</v>
      </c>
      <c r="AI48" s="86" t="str" cm="1">
        <f t="array" aca="1" ref="AI48" ca="1">IFERROR(_xlfn.XLOOKUP(INDIRECT(W48),TeamList[מס"ד],TeamList[ישוב]),"")</f>
        <v>ירושלים</v>
      </c>
      <c r="AJ48" s="86" t="str" cm="1">
        <f t="array" aca="1" ref="AJ48" ca="1">IFERROR(_xlfn.XLOOKUP(INDIRECT(X48),TeamList[מס"ד],TeamList[ישוב]),"")</f>
        <v>יבנה</v>
      </c>
      <c r="AK48" s="87" t="str" cm="1">
        <f t="array" aca="1" ref="AK48" ca="1">IFERROR(_xlfn.XLOOKUP(INDIRECT(Y48),TeamList[מס"ד],TeamList[ישוב]),"")</f>
        <v>נצרת</v>
      </c>
      <c r="AM48"/>
      <c r="AN48"/>
      <c r="AO48"/>
      <c r="AP48"/>
      <c r="AQ48"/>
      <c r="AR48"/>
      <c r="AS48"/>
      <c r="AT48"/>
    </row>
    <row r="49" spans="1:46" s="4" customFormat="1" ht="13.9" customHeight="1" x14ac:dyDescent="0.65">
      <c r="A49"/>
      <c r="B49"/>
      <c r="C49"/>
      <c r="D49"/>
      <c r="E49"/>
      <c r="F49"/>
      <c r="G49"/>
      <c r="H49"/>
      <c r="I49"/>
      <c r="J49"/>
      <c r="K49"/>
      <c r="L49"/>
      <c r="M49" s="1"/>
      <c r="N49" s="1"/>
      <c r="Q49" s="4">
        <v>16</v>
      </c>
      <c r="R49" s="4" t="str">
        <f t="shared" si="10"/>
        <v>E12</v>
      </c>
      <c r="S49" s="4" t="str">
        <f t="shared" si="11"/>
        <v>F12</v>
      </c>
      <c r="T49" s="4" t="str">
        <f t="shared" si="12"/>
        <v>G12</v>
      </c>
      <c r="U49" s="4" t="str">
        <f t="shared" si="13"/>
        <v>H12</v>
      </c>
      <c r="V49" s="4" t="str">
        <f t="shared" si="14"/>
        <v>I12</v>
      </c>
      <c r="W49" s="4" t="str">
        <f t="shared" si="15"/>
        <v>J12</v>
      </c>
      <c r="X49" s="4" t="str">
        <f t="shared" si="16"/>
        <v>K12</v>
      </c>
      <c r="Y49" s="4" t="str">
        <f t="shared" si="17"/>
        <v>L12</v>
      </c>
      <c r="AA49" s="231">
        <f>AA47+1</f>
        <v>21</v>
      </c>
      <c r="AB49" s="233">
        <f>AB47+ORM</f>
        <v>0.46874999999999989</v>
      </c>
      <c r="AC49" s="233">
        <f>AB49+TIME(0,3,0)</f>
        <v>0.47083333333333321</v>
      </c>
      <c r="AD49" s="23" t="str" cm="1">
        <f t="array" aca="1" ref="AD49" ca="1">IFERROR(CONCATENATE(_xlfn.XLOOKUP(INDIRECT(R49),TeamList[מס"ד],TeamList[מס'' הקבוצה])," ",_xlfn.XLOOKUP(INDIRECT(R49),TeamList[מס"ד],TeamList[שם הקבוצה])),"")</f>
        <v xml:space="preserve">3006 כוכב </v>
      </c>
      <c r="AE49" s="23" t="str" cm="1">
        <f t="array" aca="1" ref="AE49" ca="1">IFERROR(CONCATENATE(_xlfn.XLOOKUP(INDIRECT(S49),TeamList[מס"ד],TeamList[מס'' הקבוצה])," ",_xlfn.XLOOKUP(INDIRECT(S49),TeamList[מס"ד],TeamList[שם הקבוצה])),"")</f>
        <v xml:space="preserve">2843 בארי </v>
      </c>
      <c r="AF49" s="23" t="str" cm="1">
        <f t="array" aca="1" ref="AF49" ca="1">IFERROR(CONCATENATE(_xlfn.XLOOKUP(INDIRECT(T49),TeamList[מס"ד],TeamList[מס'' הקבוצה])," ",_xlfn.XLOOKUP(INDIRECT(T49),TeamList[מס"ד],TeamList[שם הקבוצה])),"")</f>
        <v>3294 שלנו</v>
      </c>
      <c r="AG49" s="23" t="str" cm="1">
        <f t="array" aca="1" ref="AG49" ca="1">IFERROR(CONCATENATE(_xlfn.XLOOKUP(INDIRECT(U49),TeamList[מס"ד],TeamList[מס'' הקבוצה])," ",_xlfn.XLOOKUP(INDIRECT(U49),TeamList[מס"ד],TeamList[שם הקבוצה])),"")</f>
        <v xml:space="preserve">2748 מקיף כוכב </v>
      </c>
      <c r="AH49" s="23" t="str" cm="1">
        <f t="array" aca="1" ref="AH49" ca="1">IFERROR(CONCATENATE(_xlfn.XLOOKUP(INDIRECT(V49),TeamList[מס"ד],TeamList[מס'' הקבוצה])," ",_xlfn.XLOOKUP(INDIRECT(V49),TeamList[מס"ד],TeamList[שם הקבוצה])),"")</f>
        <v/>
      </c>
      <c r="AI49" s="23" t="str" cm="1">
        <f t="array" aca="1" ref="AI49" ca="1">IFERROR(CONCATENATE(_xlfn.XLOOKUP(INDIRECT(W49),TeamList[מס"ד],TeamList[מס'' הקבוצה])," ",_xlfn.XLOOKUP(INDIRECT(W49),TeamList[מס"ד],TeamList[שם הקבוצה])),"")</f>
        <v/>
      </c>
      <c r="AJ49" s="23" t="str" cm="1">
        <f t="array" aca="1" ref="AJ49" ca="1">IFERROR(CONCATENATE(_xlfn.XLOOKUP(INDIRECT(X49),TeamList[מס"ד],TeamList[מס'' הקבוצה])," ",_xlfn.XLOOKUP(INDIRECT(X49),TeamList[מס"ד],TeamList[שם הקבוצה])),"")</f>
        <v/>
      </c>
      <c r="AK49" s="73" t="str" cm="1">
        <f t="array" aca="1" ref="AK49" ca="1">IFERROR(CONCATENATE(_xlfn.XLOOKUP(INDIRECT(Y49),TeamList[מס"ד],TeamList[מס'' הקבוצה])," ",_xlfn.XLOOKUP(INDIRECT(Y49),TeamList[מס"ד],TeamList[שם הקבוצה])),"")</f>
        <v/>
      </c>
      <c r="AM49"/>
      <c r="AN49"/>
      <c r="AO49"/>
      <c r="AP49"/>
      <c r="AQ49"/>
      <c r="AR49"/>
      <c r="AS49"/>
      <c r="AT49"/>
    </row>
    <row r="50" spans="1:46" s="4" customFormat="1" ht="13.9" customHeight="1" thickBot="1" x14ac:dyDescent="0.8">
      <c r="A50"/>
      <c r="B50"/>
      <c r="C50"/>
      <c r="D50"/>
      <c r="E50"/>
      <c r="F50"/>
      <c r="G50"/>
      <c r="H50"/>
      <c r="I50"/>
      <c r="J50"/>
      <c r="K50"/>
      <c r="L50"/>
      <c r="M50" s="1"/>
      <c r="N50" s="1"/>
      <c r="Q50" s="4">
        <v>17</v>
      </c>
      <c r="R50" s="4" t="str">
        <f t="shared" si="10"/>
        <v>E12</v>
      </c>
      <c r="S50" s="4" t="str">
        <f t="shared" si="11"/>
        <v>F12</v>
      </c>
      <c r="T50" s="4" t="str">
        <f t="shared" si="12"/>
        <v>G12</v>
      </c>
      <c r="U50" s="4" t="str">
        <f t="shared" si="13"/>
        <v>H12</v>
      </c>
      <c r="V50" s="4" t="str">
        <f t="shared" si="14"/>
        <v>I12</v>
      </c>
      <c r="W50" s="4" t="str">
        <f t="shared" si="15"/>
        <v>J12</v>
      </c>
      <c r="X50" s="4" t="str">
        <f t="shared" si="16"/>
        <v>K12</v>
      </c>
      <c r="Y50" s="4" t="str">
        <f t="shared" si="17"/>
        <v>L12</v>
      </c>
      <c r="AA50" s="232"/>
      <c r="AB50" s="234"/>
      <c r="AC50" s="234"/>
      <c r="AD50" s="84" t="str" cm="1">
        <f t="array" aca="1" ref="AD50" ca="1">IFERROR(_xlfn.XLOOKUP(INDIRECT(R50),TeamList[מס"ד],TeamList[ישוב]),"")</f>
        <v>כאוכב אבו אל-היג'א</v>
      </c>
      <c r="AE50" s="84" t="str" cm="1">
        <f t="array" aca="1" ref="AE50" ca="1">IFERROR(_xlfn.XLOOKUP(INDIRECT(S50),TeamList[מס"ד],TeamList[ישוב]),"")</f>
        <v>חיפה</v>
      </c>
      <c r="AF50" s="84" t="str" cm="1">
        <f t="array" aca="1" ref="AF50" ca="1">IFERROR(_xlfn.XLOOKUP(INDIRECT(T50),TeamList[מס"ד],TeamList[ישוב]),"")</f>
        <v>תל מונד</v>
      </c>
      <c r="AG50" s="84" t="str" cm="1">
        <f t="array" aca="1" ref="AG50" ca="1">IFERROR(_xlfn.XLOOKUP(INDIRECT(U50),TeamList[מס"ד],TeamList[ישוב]),"")</f>
        <v>כאוכב אבו אל-היג'א</v>
      </c>
      <c r="AH50" s="84" t="str" cm="1">
        <f t="array" aca="1" ref="AH50" ca="1">IFERROR(_xlfn.XLOOKUP(INDIRECT(V50),TeamList[מס"ד],TeamList[ישוב]),"")</f>
        <v/>
      </c>
      <c r="AI50" s="84" t="str" cm="1">
        <f t="array" aca="1" ref="AI50" ca="1">IFERROR(_xlfn.XLOOKUP(INDIRECT(W50),TeamList[מס"ד],TeamList[ישוב]),"")</f>
        <v/>
      </c>
      <c r="AJ50" s="84" t="str" cm="1">
        <f t="array" aca="1" ref="AJ50" ca="1">IFERROR(_xlfn.XLOOKUP(INDIRECT(X50),TeamList[מס"ד],TeamList[ישוב]),"")</f>
        <v/>
      </c>
      <c r="AK50" s="85" t="str" cm="1">
        <f t="array" aca="1" ref="AK50" ca="1">IFERROR(_xlfn.XLOOKUP(INDIRECT(Y50),TeamList[מס"ד],TeamList[ישוב]),"")</f>
        <v/>
      </c>
      <c r="AM50"/>
      <c r="AN50"/>
      <c r="AO50"/>
      <c r="AP50"/>
      <c r="AQ50"/>
      <c r="AR50"/>
      <c r="AS50"/>
      <c r="AT50"/>
    </row>
    <row r="51" spans="1:46" s="4" customFormat="1" ht="13.9" customHeight="1" x14ac:dyDescent="0.65">
      <c r="A51"/>
      <c r="B51"/>
      <c r="C51"/>
      <c r="D51"/>
      <c r="E51"/>
      <c r="F51"/>
      <c r="G51"/>
      <c r="H51"/>
      <c r="I51"/>
      <c r="J51"/>
      <c r="K51"/>
      <c r="L51"/>
      <c r="M51" s="1"/>
      <c r="N51" s="1"/>
      <c r="Q51" s="4">
        <v>18</v>
      </c>
      <c r="R51" s="4" t="str">
        <f t="shared" si="10"/>
        <v>E13</v>
      </c>
      <c r="S51" s="4" t="str">
        <f t="shared" si="11"/>
        <v>F13</v>
      </c>
      <c r="T51" s="4" t="str">
        <f t="shared" si="12"/>
        <v>G13</v>
      </c>
      <c r="U51" s="4" t="str">
        <f t="shared" si="13"/>
        <v>H13</v>
      </c>
      <c r="V51" s="4" t="str">
        <f t="shared" si="14"/>
        <v>I13</v>
      </c>
      <c r="W51" s="4" t="str">
        <f t="shared" si="15"/>
        <v>J13</v>
      </c>
      <c r="X51" s="4" t="str">
        <f t="shared" si="16"/>
        <v>K13</v>
      </c>
      <c r="Y51" s="4" t="str">
        <f t="shared" si="17"/>
        <v>L13</v>
      </c>
      <c r="AA51" s="235">
        <f>AA49+1</f>
        <v>22</v>
      </c>
      <c r="AB51" s="237">
        <f>AB49+ORM</f>
        <v>0.4722222222222221</v>
      </c>
      <c r="AC51" s="237">
        <f>AB51+TIME(0,3,0)</f>
        <v>0.47430555555555542</v>
      </c>
      <c r="AD51" s="24" t="str" cm="1">
        <f t="array" aca="1" ref="AD51" ca="1">IFERROR(CONCATENATE(_xlfn.XLOOKUP(INDIRECT(R51),TeamList[מס"ד],TeamList[מס'' הקבוצה])," ",_xlfn.XLOOKUP(INDIRECT(R51),TeamList[מס"ד],TeamList[שם הקבוצה])),"")</f>
        <v/>
      </c>
      <c r="AE51" s="24" t="str" cm="1">
        <f t="array" aca="1" ref="AE51" ca="1">IFERROR(CONCATENATE(_xlfn.XLOOKUP(INDIRECT(S51),TeamList[מס"ד],TeamList[מס'' הקבוצה])," ",_xlfn.XLOOKUP(INDIRECT(S51),TeamList[מס"ד],TeamList[שם הקבוצה])),"")</f>
        <v/>
      </c>
      <c r="AF51" s="24" t="str" cm="1">
        <f t="array" aca="1" ref="AF51" ca="1">IFERROR(CONCATENATE(_xlfn.XLOOKUP(INDIRECT(T51),TeamList[מס"ד],TeamList[מס'' הקבוצה])," ",_xlfn.XLOOKUP(INDIRECT(T51),TeamList[מס"ד],TeamList[שם הקבוצה])),"")</f>
        <v/>
      </c>
      <c r="AG51" s="24" t="str" cm="1">
        <f t="array" aca="1" ref="AG51" ca="1">IFERROR(CONCATENATE(_xlfn.XLOOKUP(INDIRECT(U51),TeamList[מס"ד],TeamList[מס'' הקבוצה])," ",_xlfn.XLOOKUP(INDIRECT(U51),TeamList[מס"ד],TeamList[שם הקבוצה])),"")</f>
        <v/>
      </c>
      <c r="AH51" s="24" t="str" cm="1">
        <f t="array" aca="1" ref="AH51" ca="1">IFERROR(CONCATENATE(_xlfn.XLOOKUP(INDIRECT(V51),TeamList[מס"ד],TeamList[מס'' הקבוצה])," ",_xlfn.XLOOKUP(INDIRECT(V51),TeamList[מס"ד],TeamList[שם הקבוצה])),"")</f>
        <v xml:space="preserve">2130 צודות </v>
      </c>
      <c r="AI51" s="24" t="str" cm="1">
        <f t="array" aca="1" ref="AI51" ca="1">IFERROR(CONCATENATE(_xlfn.XLOOKUP(INDIRECT(W51),TeamList[מס"ד],TeamList[מס'' הקבוצה])," ",_xlfn.XLOOKUP(INDIRECT(W51),TeamList[מס"ד],TeamList[שם הקבוצה])),"")</f>
        <v>1720 אגרון</v>
      </c>
      <c r="AJ51" s="24" t="str" cm="1">
        <f t="array" aca="1" ref="AJ51" ca="1">IFERROR(CONCATENATE(_xlfn.XLOOKUP(INDIRECT(X51),TeamList[מס"ד],TeamList[מס'' הקבוצה])," ",_xlfn.XLOOKUP(INDIRECT(X51),TeamList[מס"ד],TeamList[שם הקבוצה])),"")</f>
        <v>3184 תיכון דרך</v>
      </c>
      <c r="AK51" s="72" t="str" cm="1">
        <f t="array" aca="1" ref="AK51" ca="1">IFERROR(CONCATENATE(_xlfn.XLOOKUP(INDIRECT(Y51),TeamList[מס"ד],TeamList[מס'' הקבוצה])," ",_xlfn.XLOOKUP(INDIRECT(Y51),TeamList[מס"ד],TeamList[שם הקבוצה])),"")</f>
        <v>1332 אפרתה</v>
      </c>
      <c r="AM51"/>
      <c r="AN51"/>
      <c r="AO51"/>
      <c r="AP51"/>
      <c r="AQ51"/>
      <c r="AR51"/>
      <c r="AS51"/>
      <c r="AT51"/>
    </row>
    <row r="52" spans="1:46" s="4" customFormat="1" ht="13.9" customHeight="1" thickBot="1" x14ac:dyDescent="0.8">
      <c r="A52"/>
      <c r="B52"/>
      <c r="C52"/>
      <c r="D52"/>
      <c r="E52"/>
      <c r="F52"/>
      <c r="G52"/>
      <c r="H52"/>
      <c r="I52"/>
      <c r="J52"/>
      <c r="K52"/>
      <c r="L52"/>
      <c r="M52" s="1"/>
      <c r="N52" s="1"/>
      <c r="Q52" s="4">
        <v>19</v>
      </c>
      <c r="R52" s="4" t="str">
        <f t="shared" si="10"/>
        <v>E13</v>
      </c>
      <c r="S52" s="4" t="str">
        <f t="shared" si="11"/>
        <v>F13</v>
      </c>
      <c r="T52" s="4" t="str">
        <f t="shared" si="12"/>
        <v>G13</v>
      </c>
      <c r="U52" s="4" t="str">
        <f t="shared" si="13"/>
        <v>H13</v>
      </c>
      <c r="V52" s="4" t="str">
        <f t="shared" si="14"/>
        <v>I13</v>
      </c>
      <c r="W52" s="4" t="str">
        <f t="shared" si="15"/>
        <v>J13</v>
      </c>
      <c r="X52" s="4" t="str">
        <f t="shared" si="16"/>
        <v>K13</v>
      </c>
      <c r="Y52" s="4" t="str">
        <f t="shared" si="17"/>
        <v>L13</v>
      </c>
      <c r="AA52" s="236"/>
      <c r="AB52" s="238"/>
      <c r="AC52" s="238"/>
      <c r="AD52" s="86" t="str" cm="1">
        <f t="array" aca="1" ref="AD52" ca="1">IFERROR(_xlfn.XLOOKUP(INDIRECT(R52),TeamList[מס"ד],TeamList[ישוב]),"")</f>
        <v/>
      </c>
      <c r="AE52" s="86" t="str" cm="1">
        <f t="array" aca="1" ref="AE52" ca="1">IFERROR(_xlfn.XLOOKUP(INDIRECT(S52),TeamList[מס"ד],TeamList[ישוב]),"")</f>
        <v/>
      </c>
      <c r="AF52" s="86" t="str" cm="1">
        <f t="array" aca="1" ref="AF52" ca="1">IFERROR(_xlfn.XLOOKUP(INDIRECT(T52),TeamList[מס"ד],TeamList[ישוב]),"")</f>
        <v/>
      </c>
      <c r="AG52" s="86" t="str" cm="1">
        <f t="array" aca="1" ref="AG52" ca="1">IFERROR(_xlfn.XLOOKUP(INDIRECT(U52),TeamList[מס"ד],TeamList[ישוב]),"")</f>
        <v/>
      </c>
      <c r="AH52" s="86" t="str" cm="1">
        <f t="array" aca="1" ref="AH52" ca="1">IFERROR(_xlfn.XLOOKUP(INDIRECT(V52),TeamList[מס"ד],TeamList[ישוב]),"")</f>
        <v>קרית שמונה</v>
      </c>
      <c r="AI52" s="86" t="str" cm="1">
        <f t="array" aca="1" ref="AI52" ca="1">IFERROR(_xlfn.XLOOKUP(INDIRECT(W52),TeamList[מס"ד],TeamList[ישוב]),"")</f>
        <v>ירושלים</v>
      </c>
      <c r="AJ52" s="86" t="str" cm="1">
        <f t="array" aca="1" ref="AJ52" ca="1">IFERROR(_xlfn.XLOOKUP(INDIRECT(X52),TeamList[מס"ד],TeamList[ישוב]),"")</f>
        <v>ירושלים</v>
      </c>
      <c r="AK52" s="87" t="str" cm="1">
        <f t="array" aca="1" ref="AK52" ca="1">IFERROR(_xlfn.XLOOKUP(INDIRECT(Y52),TeamList[מס"ד],TeamList[ישוב]),"")</f>
        <v>ירושלים</v>
      </c>
      <c r="AM52"/>
      <c r="AN52"/>
      <c r="AO52"/>
      <c r="AP52"/>
      <c r="AQ52"/>
      <c r="AR52"/>
      <c r="AS52"/>
      <c r="AT52"/>
    </row>
    <row r="53" spans="1:46" s="4" customFormat="1" ht="13.9" customHeight="1" x14ac:dyDescent="0.65">
      <c r="A53"/>
      <c r="B53"/>
      <c r="C53"/>
      <c r="D53"/>
      <c r="E53"/>
      <c r="F53"/>
      <c r="G53"/>
      <c r="H53"/>
      <c r="I53"/>
      <c r="J53"/>
      <c r="K53"/>
      <c r="L53"/>
      <c r="M53" s="1"/>
      <c r="N53" s="1"/>
      <c r="Q53" s="4">
        <v>20</v>
      </c>
      <c r="R53" s="4" t="str">
        <f t="shared" si="10"/>
        <v>E14</v>
      </c>
      <c r="S53" s="4" t="str">
        <f t="shared" si="11"/>
        <v>F14</v>
      </c>
      <c r="T53" s="4" t="str">
        <f t="shared" si="12"/>
        <v>G14</v>
      </c>
      <c r="U53" s="4" t="str">
        <f t="shared" si="13"/>
        <v>H14</v>
      </c>
      <c r="V53" s="4" t="str">
        <f t="shared" si="14"/>
        <v>I14</v>
      </c>
      <c r="W53" s="4" t="str">
        <f t="shared" si="15"/>
        <v>J14</v>
      </c>
      <c r="X53" s="4" t="str">
        <f t="shared" si="16"/>
        <v>K14</v>
      </c>
      <c r="Y53" s="4" t="str">
        <f t="shared" si="17"/>
        <v>L14</v>
      </c>
      <c r="AA53" s="231">
        <f>AA51+1</f>
        <v>23</v>
      </c>
      <c r="AB53" s="233">
        <f>AB51+ORM</f>
        <v>0.47569444444444431</v>
      </c>
      <c r="AC53" s="233">
        <f>AB53+TIME(0,3,0)</f>
        <v>0.47777777777777763</v>
      </c>
      <c r="AD53" s="23" t="str" cm="1">
        <f t="array" aca="1" ref="AD53" ca="1">IFERROR(CONCATENATE(_xlfn.XLOOKUP(INDIRECT(R53),TeamList[מס"ד],TeamList[מס'' הקבוצה])," ",_xlfn.XLOOKUP(INDIRECT(R53),TeamList[מס"ד],TeamList[שם הקבוצה])),"")</f>
        <v>1043 עתיד כרמים</v>
      </c>
      <c r="AE53" s="23" t="str" cm="1">
        <f t="array" aca="1" ref="AE53" ca="1">IFERROR(CONCATENATE(_xlfn.XLOOKUP(INDIRECT(S53),TeamList[מס"ד],TeamList[מס'' הקבוצה])," ",_xlfn.XLOOKUP(INDIRECT(S53),TeamList[מס"ד],TeamList[שם הקבוצה])),"")</f>
        <v>2222 אפרתה</v>
      </c>
      <c r="AF53" s="219" t="str" cm="1">
        <f t="array" aca="1" ref="AF53" ca="1">IFERROR(CONCATENATE(_xlfn.XLOOKUP(INDIRECT(T53),TeamList[מס"ד],TeamList[מס'' הקבוצה])," ",_xlfn.XLOOKUP(INDIRECT(T53),TeamList[מס"ד],TeamList[שם הקבוצה])),"")</f>
        <v>3179 נצח ישראל</v>
      </c>
      <c r="AG53" s="23" t="str" cm="1">
        <f t="array" aca="1" ref="AG53" ca="1">IFERROR(CONCATENATE(_xlfn.XLOOKUP(INDIRECT(U53),TeamList[מס"ד],TeamList[מס'' הקבוצה])," ",_xlfn.XLOOKUP(INDIRECT(U53),TeamList[מס"ד],TeamList[שם הקבוצה])),"")</f>
        <v xml:space="preserve">2977 הנדסאים </v>
      </c>
      <c r="AH53" s="23" t="str" cm="1">
        <f t="array" aca="1" ref="AH53" ca="1">IFERROR(CONCATENATE(_xlfn.XLOOKUP(INDIRECT(V53),TeamList[מס"ד],TeamList[מס'' הקבוצה])," ",_xlfn.XLOOKUP(INDIRECT(V53),TeamList[מס"ד],TeamList[שם הקבוצה])),"")</f>
        <v/>
      </c>
      <c r="AI53" s="73" t="str" cm="1">
        <f t="array" aca="1" ref="AI53" ca="1">IFERROR(CONCATENATE(_xlfn.XLOOKUP(INDIRECT(W53),TeamList[מס"ד],TeamList[מס'' הקבוצה])," ",_xlfn.XLOOKUP(INDIRECT(W53),TeamList[מס"ד],TeamList[שם הקבוצה])),"")</f>
        <v/>
      </c>
      <c r="AJ53" s="23" t="str" cm="1">
        <f t="array" aca="1" ref="AJ53" ca="1">IFERROR(CONCATENATE(_xlfn.XLOOKUP(INDIRECT(X53),TeamList[מס"ד],TeamList[מס'' הקבוצה])," ",_xlfn.XLOOKUP(INDIRECT(X53),TeamList[מס"ד],TeamList[שם הקבוצה])),"")</f>
        <v/>
      </c>
      <c r="AK53" s="73" t="str" cm="1">
        <f t="array" aca="1" ref="AK53" ca="1">IFERROR(CONCATENATE(_xlfn.XLOOKUP(INDIRECT(Y53),TeamList[מס"ד],TeamList[מס'' הקבוצה])," ",_xlfn.XLOOKUP(INDIRECT(Y53),TeamList[מס"ד],TeamList[שם הקבוצה])),"")</f>
        <v/>
      </c>
      <c r="AM53"/>
      <c r="AN53"/>
      <c r="AO53"/>
      <c r="AP53"/>
      <c r="AQ53"/>
      <c r="AR53"/>
      <c r="AS53"/>
      <c r="AT53"/>
    </row>
    <row r="54" spans="1:46" s="4" customFormat="1" ht="13.9" customHeight="1" thickBot="1" x14ac:dyDescent="0.8">
      <c r="A54"/>
      <c r="B54"/>
      <c r="C54"/>
      <c r="D54"/>
      <c r="E54"/>
      <c r="F54"/>
      <c r="G54"/>
      <c r="H54"/>
      <c r="I54"/>
      <c r="J54"/>
      <c r="K54"/>
      <c r="L54"/>
      <c r="M54" s="1"/>
      <c r="N54" s="1"/>
      <c r="Q54" s="4">
        <v>21</v>
      </c>
      <c r="R54" s="4" t="str">
        <f t="shared" si="10"/>
        <v>E14</v>
      </c>
      <c r="S54" s="4" t="str">
        <f t="shared" si="11"/>
        <v>F14</v>
      </c>
      <c r="T54" s="4" t="str">
        <f t="shared" si="12"/>
        <v>G14</v>
      </c>
      <c r="U54" s="4" t="str">
        <f t="shared" si="13"/>
        <v>H14</v>
      </c>
      <c r="V54" s="4" t="str">
        <f t="shared" si="14"/>
        <v>I14</v>
      </c>
      <c r="W54" s="4" t="str">
        <f t="shared" si="15"/>
        <v>J14</v>
      </c>
      <c r="X54" s="4" t="str">
        <f t="shared" si="16"/>
        <v>K14</v>
      </c>
      <c r="Y54" s="4" t="str">
        <f t="shared" si="17"/>
        <v>L14</v>
      </c>
      <c r="AA54" s="232"/>
      <c r="AB54" s="234"/>
      <c r="AC54" s="234"/>
      <c r="AD54" s="84" t="str" cm="1">
        <f t="array" aca="1" ref="AD54" ca="1">IFERROR(_xlfn.XLOOKUP(INDIRECT(R54),TeamList[מס"ד],TeamList[ישוב]),"")</f>
        <v>בנימינה-גבעת עדה</v>
      </c>
      <c r="AE54" s="84" t="str" cm="1">
        <f t="array" aca="1" ref="AE54" ca="1">IFERROR(_xlfn.XLOOKUP(INDIRECT(S54),TeamList[מס"ד],TeamList[ישוב]),"")</f>
        <v>ירושלים</v>
      </c>
      <c r="AF54" s="84" t="str" cm="1">
        <f t="array" aca="1" ref="AF54" ca="1">IFERROR(_xlfn.XLOOKUP(INDIRECT(T54),TeamList[מס"ד],TeamList[ישוב]),"")</f>
        <v>בית שמש</v>
      </c>
      <c r="AG54" s="84" t="str" cm="1">
        <f t="array" aca="1" ref="AG54" ca="1">IFERROR(_xlfn.XLOOKUP(INDIRECT(U54),TeamList[מס"ד],TeamList[ישוב]),"")</f>
        <v>הרצליה</v>
      </c>
      <c r="AH54" s="84" t="str" cm="1">
        <f t="array" aca="1" ref="AH54" ca="1">IFERROR(_xlfn.XLOOKUP(INDIRECT(V54),TeamList[מס"ד],TeamList[ישוב]),"")</f>
        <v/>
      </c>
      <c r="AI54" s="85" t="str" cm="1">
        <f t="array" aca="1" ref="AI54" ca="1">IFERROR(_xlfn.XLOOKUP(INDIRECT(W54),TeamList[מס"ד],TeamList[ישוב]),"")</f>
        <v/>
      </c>
      <c r="AJ54" s="84" t="str" cm="1">
        <f t="array" aca="1" ref="AJ54" ca="1">IFERROR(_xlfn.XLOOKUP(INDIRECT(X54),TeamList[מס"ד],TeamList[ישוב]),"")</f>
        <v/>
      </c>
      <c r="AK54" s="85" t="str" cm="1">
        <f t="array" aca="1" ref="AK54" ca="1">IFERROR(_xlfn.XLOOKUP(INDIRECT(Y54),TeamList[מס"ד],TeamList[ישוב]),"")</f>
        <v/>
      </c>
      <c r="AM54"/>
      <c r="AN54"/>
      <c r="AO54"/>
      <c r="AP54"/>
      <c r="AQ54"/>
      <c r="AR54"/>
      <c r="AS54"/>
      <c r="AT54"/>
    </row>
    <row r="55" spans="1:46" s="4" customFormat="1" ht="13.9" customHeight="1" x14ac:dyDescent="0.65">
      <c r="A55"/>
      <c r="B55"/>
      <c r="C55"/>
      <c r="D55"/>
      <c r="E55"/>
      <c r="F55"/>
      <c r="G55"/>
      <c r="H55"/>
      <c r="I55"/>
      <c r="J55"/>
      <c r="K55"/>
      <c r="L55"/>
      <c r="M55" s="1"/>
      <c r="N55" s="1"/>
      <c r="Q55" s="4">
        <v>22</v>
      </c>
      <c r="R55" s="4" t="str">
        <f t="shared" si="10"/>
        <v>E15</v>
      </c>
      <c r="S55" s="4" t="str">
        <f t="shared" si="11"/>
        <v>F15</v>
      </c>
      <c r="T55" s="4" t="str">
        <f t="shared" si="12"/>
        <v>G15</v>
      </c>
      <c r="U55" s="4" t="str">
        <f t="shared" si="13"/>
        <v>H15</v>
      </c>
      <c r="V55" s="4" t="str">
        <f t="shared" si="14"/>
        <v>I15</v>
      </c>
      <c r="W55" s="4" t="str">
        <f t="shared" si="15"/>
        <v>J15</v>
      </c>
      <c r="X55" s="4" t="str">
        <f t="shared" si="16"/>
        <v>K15</v>
      </c>
      <c r="Y55" s="4" t="str">
        <f t="shared" si="17"/>
        <v>L15</v>
      </c>
      <c r="AA55" s="231">
        <f>AA53+1</f>
        <v>24</v>
      </c>
      <c r="AB55" s="237">
        <f>AB53+ORM</f>
        <v>0.47916666666666652</v>
      </c>
      <c r="AC55" s="237">
        <f>AB55+TIME(0,3,0)</f>
        <v>0.48124999999999984</v>
      </c>
      <c r="AD55" s="24" t="str" cm="1">
        <f t="array" aca="1" ref="AD55" ca="1">IFERROR(CONCATENATE(_xlfn.XLOOKUP(INDIRECT(R55),TeamList[מס"ד],TeamList[מס'' הקבוצה])," ",_xlfn.XLOOKUP(INDIRECT(R55),TeamList[מס"ד],TeamList[שם הקבוצה])),"")</f>
        <v/>
      </c>
      <c r="AE55" s="24" t="str" cm="1">
        <f t="array" aca="1" ref="AE55" ca="1">IFERROR(CONCATENATE(_xlfn.XLOOKUP(INDIRECT(S55),TeamList[מס"ד],TeamList[מס'' הקבוצה])," ",_xlfn.XLOOKUP(INDIRECT(S55),TeamList[מס"ד],TeamList[שם הקבוצה])),"")</f>
        <v/>
      </c>
      <c r="AF55" s="24" t="str" cm="1">
        <f t="array" aca="1" ref="AF55" ca="1">IFERROR(CONCATENATE(_xlfn.XLOOKUP(INDIRECT(T55),TeamList[מס"ד],TeamList[מס'' הקבוצה])," ",_xlfn.XLOOKUP(INDIRECT(T55),TeamList[מס"ד],TeamList[שם הקבוצה])),"")</f>
        <v/>
      </c>
      <c r="AG55" s="24" t="str" cm="1">
        <f t="array" aca="1" ref="AG55" ca="1">IFERROR(CONCATENATE(_xlfn.XLOOKUP(INDIRECT(U55),TeamList[מס"ד],TeamList[מס'' הקבוצה])," ",_xlfn.XLOOKUP(INDIRECT(U55),TeamList[מס"ד],TeamList[שם הקבוצה])),"")</f>
        <v/>
      </c>
      <c r="AH55" s="24" t="str" cm="1">
        <f t="array" aca="1" ref="AH55" ca="1">IFERROR(CONCATENATE(_xlfn.XLOOKUP(INDIRECT(V55),TeamList[מס"ד],TeamList[מס'' הקבוצה])," ",_xlfn.XLOOKUP(INDIRECT(V55),TeamList[מס"ד],TeamList[שם הקבוצה])),"")</f>
        <v xml:space="preserve">341 עירוני ד </v>
      </c>
      <c r="AI55" s="24" t="str" cm="1">
        <f t="array" aca="1" ref="AI55" ca="1">IFERROR(CONCATENATE(_xlfn.XLOOKUP(INDIRECT(W55),TeamList[מס"ד],TeamList[מס'' הקבוצה])," ",_xlfn.XLOOKUP(INDIRECT(W55),TeamList[מס"ד],TeamList[שם הקבוצה])),"")</f>
        <v>3181 פלך בנים</v>
      </c>
      <c r="AJ55" s="24" t="str" cm="1">
        <f t="array" aca="1" ref="AJ55" ca="1">IFERROR(CONCATENATE(_xlfn.XLOOKUP(INDIRECT(X55),TeamList[מס"ד],TeamList[מס'' הקבוצה])," ",_xlfn.XLOOKUP(INDIRECT(X55),TeamList[מס"ד],TeamList[שם הקבוצה])),"")</f>
        <v>3146 אלבוכארי</v>
      </c>
      <c r="AK55" s="72" t="str" cm="1">
        <f t="array" aca="1" ref="AK55" ca="1">IFERROR(CONCATENATE(_xlfn.XLOOKUP(INDIRECT(Y55),TeamList[מס"ד],TeamList[מס'' הקבוצה])," ",_xlfn.XLOOKUP(INDIRECT(Y55),TeamList[מס"ד],TeamList[שם הקבוצה])),"")</f>
        <v>1083 AGCTeam</v>
      </c>
      <c r="AM55"/>
      <c r="AN55"/>
      <c r="AO55"/>
      <c r="AP55"/>
      <c r="AQ55"/>
      <c r="AR55"/>
      <c r="AS55"/>
      <c r="AT55"/>
    </row>
    <row r="56" spans="1:46" s="4" customFormat="1" ht="13.9" customHeight="1" thickBot="1" x14ac:dyDescent="0.8">
      <c r="A56"/>
      <c r="B56"/>
      <c r="C56"/>
      <c r="D56"/>
      <c r="E56"/>
      <c r="F56"/>
      <c r="G56"/>
      <c r="H56"/>
      <c r="I56"/>
      <c r="J56"/>
      <c r="K56"/>
      <c r="L56"/>
      <c r="M56" s="1"/>
      <c r="N56" s="1"/>
      <c r="Q56" s="4">
        <v>23</v>
      </c>
      <c r="R56" s="4" t="str">
        <f t="shared" si="10"/>
        <v>E15</v>
      </c>
      <c r="S56" s="4" t="str">
        <f t="shared" si="11"/>
        <v>F15</v>
      </c>
      <c r="T56" s="4" t="str">
        <f t="shared" si="12"/>
        <v>G15</v>
      </c>
      <c r="U56" s="4" t="str">
        <f t="shared" si="13"/>
        <v>H15</v>
      </c>
      <c r="V56" s="4" t="str">
        <f t="shared" si="14"/>
        <v>I15</v>
      </c>
      <c r="W56" s="4" t="str">
        <f t="shared" si="15"/>
        <v>J15</v>
      </c>
      <c r="X56" s="4" t="str">
        <f t="shared" si="16"/>
        <v>K15</v>
      </c>
      <c r="Y56" s="4" t="str">
        <f t="shared" si="17"/>
        <v>L15</v>
      </c>
      <c r="AA56" s="232"/>
      <c r="AB56" s="238"/>
      <c r="AC56" s="238"/>
      <c r="AD56" s="86" t="str" cm="1">
        <f t="array" aca="1" ref="AD56" ca="1">IFERROR(_xlfn.XLOOKUP(INDIRECT(R56),TeamList[מס"ד],TeamList[ישוב]),"")</f>
        <v/>
      </c>
      <c r="AE56" s="86" t="str" cm="1">
        <f t="array" aca="1" ref="AE56" ca="1">IFERROR(_xlfn.XLOOKUP(INDIRECT(S56),TeamList[מס"ד],TeamList[ישוב]),"")</f>
        <v/>
      </c>
      <c r="AF56" s="86" t="str" cm="1">
        <f t="array" aca="1" ref="AF56" ca="1">IFERROR(_xlfn.XLOOKUP(INDIRECT(T56),TeamList[מס"ד],TeamList[ישוב]),"")</f>
        <v/>
      </c>
      <c r="AG56" s="86" t="str" cm="1">
        <f t="array" aca="1" ref="AG56" ca="1">IFERROR(_xlfn.XLOOKUP(INDIRECT(U56),TeamList[מס"ד],TeamList[ישוב]),"")</f>
        <v/>
      </c>
      <c r="AH56" s="86" t="str" cm="1">
        <f t="array" aca="1" ref="AH56" ca="1">IFERROR(_xlfn.XLOOKUP(INDIRECT(V56),TeamList[מס"ד],TeamList[ישוב]),"")</f>
        <v>מודיעין-מכבים-רעות</v>
      </c>
      <c r="AI56" s="86" t="str" cm="1">
        <f t="array" aca="1" ref="AI56" ca="1">IFERROR(_xlfn.XLOOKUP(INDIRECT(W56),TeamList[מס"ד],TeamList[ישוב]),"")</f>
        <v>ירושלים</v>
      </c>
      <c r="AJ56" s="86" t="str" cm="1">
        <f t="array" aca="1" ref="AJ56" ca="1">IFERROR(_xlfn.XLOOKUP(INDIRECT(X56),TeamList[מס"ד],TeamList[ישוב]),"")</f>
        <v>עראבה</v>
      </c>
      <c r="AK56" s="87" t="str" cm="1">
        <f t="array" aca="1" ref="AK56" ca="1">IFERROR(_xlfn.XLOOKUP(INDIRECT(Y56),TeamList[מס"ד],TeamList[ישוב]),"")</f>
        <v>אלון הגליל</v>
      </c>
      <c r="AM56"/>
      <c r="AN56"/>
      <c r="AO56"/>
      <c r="AP56"/>
      <c r="AQ56"/>
      <c r="AR56"/>
      <c r="AS56"/>
      <c r="AT56"/>
    </row>
    <row r="57" spans="1:46" s="4" customFormat="1" ht="21.65" customHeight="1" thickBot="1" x14ac:dyDescent="0.8">
      <c r="A57"/>
      <c r="B57"/>
      <c r="C57"/>
      <c r="D57"/>
      <c r="E57"/>
      <c r="F57"/>
      <c r="G57"/>
      <c r="H57"/>
      <c r="I57"/>
      <c r="J57"/>
      <c r="K57"/>
      <c r="L57"/>
      <c r="M57" s="1"/>
      <c r="N57" s="1"/>
      <c r="O57" s="1"/>
      <c r="P57" s="5"/>
      <c r="Q57" s="5"/>
      <c r="AA57" s="240" t="s">
        <v>26</v>
      </c>
      <c r="AB57" s="241"/>
      <c r="AC57" s="241"/>
      <c r="AD57" s="241"/>
      <c r="AE57" s="241"/>
      <c r="AF57" s="241"/>
      <c r="AG57" s="241"/>
      <c r="AH57" s="241"/>
      <c r="AI57" s="241"/>
      <c r="AJ57" s="241"/>
      <c r="AK57" s="242"/>
      <c r="AM57"/>
      <c r="AN57"/>
      <c r="AO57"/>
      <c r="AP57"/>
      <c r="AQ57"/>
      <c r="AR57"/>
      <c r="AS57"/>
      <c r="AT57"/>
    </row>
    <row r="58" spans="1:46" s="4" customFormat="1" ht="13.9" customHeight="1" x14ac:dyDescent="0.7">
      <c r="A58"/>
      <c r="B58"/>
      <c r="C58"/>
      <c r="D58"/>
      <c r="E58"/>
      <c r="F58"/>
      <c r="G58"/>
      <c r="H58"/>
      <c r="I58"/>
      <c r="J58"/>
      <c r="K58"/>
      <c r="L58"/>
      <c r="M58" s="1"/>
      <c r="N58" s="1"/>
      <c r="O58" s="1"/>
      <c r="P58" s="5"/>
      <c r="Q58" s="5"/>
      <c r="AA58" s="97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M58"/>
      <c r="AN58"/>
      <c r="AO58"/>
      <c r="AP58"/>
      <c r="AQ58"/>
      <c r="AR58"/>
      <c r="AS58"/>
      <c r="AT58"/>
    </row>
    <row r="59" spans="1:46" s="4" customFormat="1" ht="13.9" customHeight="1" x14ac:dyDescent="0.65">
      <c r="M59" s="1"/>
      <c r="N59" s="1"/>
      <c r="O59" s="1"/>
      <c r="P59" s="5"/>
      <c r="Q59" s="5"/>
      <c r="AA59" s="79"/>
      <c r="AB59" s="79"/>
      <c r="AC59" s="79"/>
      <c r="AD59" s="96"/>
      <c r="AE59" s="96"/>
      <c r="AF59" s="96"/>
      <c r="AG59" s="96"/>
      <c r="AH59" s="96"/>
      <c r="AI59" s="96"/>
      <c r="AJ59" s="96"/>
      <c r="AK59" s="96"/>
      <c r="AM59"/>
      <c r="AN59"/>
      <c r="AO59"/>
      <c r="AP59"/>
      <c r="AQ59"/>
      <c r="AR59"/>
      <c r="AS59"/>
      <c r="AT59"/>
    </row>
    <row r="60" spans="1:46" s="4" customFormat="1" ht="32.4" customHeight="1" thickBot="1" x14ac:dyDescent="0.8">
      <c r="B60" s="2"/>
      <c r="C60" s="5"/>
      <c r="D60" s="5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5"/>
      <c r="Q60" s="5"/>
      <c r="AA60" s="89"/>
      <c r="AB60" s="89"/>
      <c r="AC60" s="89"/>
      <c r="AD60" s="90"/>
      <c r="AE60" s="90"/>
      <c r="AF60" s="88" t="s">
        <v>32</v>
      </c>
      <c r="AG60" s="88" t="s">
        <v>33</v>
      </c>
      <c r="AH60" s="91" t="str">
        <f>'רשימת הקבוצות'!$C$1</f>
        <v>מוקדמות מס'</v>
      </c>
      <c r="AI60" s="92" t="str">
        <f>'רשימת הקבוצות'!$D$1</f>
        <v>4   בית אדום</v>
      </c>
      <c r="AJ60" s="244">
        <f>'רשימת הקבוצות'!$E$1</f>
        <v>44965</v>
      </c>
      <c r="AK60" s="244"/>
      <c r="AM60"/>
      <c r="AN60"/>
      <c r="AO60"/>
      <c r="AP60"/>
      <c r="AQ60"/>
      <c r="AR60"/>
      <c r="AS60"/>
      <c r="AT60"/>
    </row>
    <row r="61" spans="1:46" s="4" customFormat="1" ht="28.9" customHeight="1" thickTop="1" thickBot="1" x14ac:dyDescent="0.8">
      <c r="B61" s="2"/>
      <c r="C61" s="5"/>
      <c r="D61" s="5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5"/>
      <c r="Q61" s="5"/>
      <c r="AA61" s="239" t="s">
        <v>189</v>
      </c>
      <c r="AB61" s="239"/>
      <c r="AC61" s="239"/>
      <c r="AD61" s="239"/>
      <c r="AE61" s="239"/>
      <c r="AF61" s="239"/>
      <c r="AG61" s="239"/>
      <c r="AH61" s="239"/>
      <c r="AI61" s="239"/>
      <c r="AJ61" s="239"/>
      <c r="AK61" s="239"/>
    </row>
    <row r="62" spans="1:46" s="4" customFormat="1" ht="25.2" customHeight="1" thickBot="1" x14ac:dyDescent="0.8">
      <c r="M62" s="1"/>
      <c r="N62" s="1"/>
      <c r="O62" s="1"/>
      <c r="P62" s="5"/>
      <c r="Q62" s="5"/>
      <c r="AA62" s="93" t="s">
        <v>30</v>
      </c>
      <c r="AB62" s="94" t="s">
        <v>22</v>
      </c>
      <c r="AC62" s="94" t="s">
        <v>23</v>
      </c>
      <c r="AD62" s="95" t="str">
        <f t="shared" ref="AD62:AK62" si="18">R$1</f>
        <v>1 אדום</v>
      </c>
      <c r="AE62" s="95" t="str">
        <f t="shared" si="18"/>
        <v>2 אדום</v>
      </c>
      <c r="AF62" s="95" t="str">
        <f t="shared" si="18"/>
        <v>3 אדום</v>
      </c>
      <c r="AG62" s="95" t="str">
        <f t="shared" si="18"/>
        <v>4 אדום</v>
      </c>
      <c r="AH62" s="95" t="str">
        <f t="shared" si="18"/>
        <v>5 אדום</v>
      </c>
      <c r="AI62" s="95" t="str">
        <f t="shared" si="18"/>
        <v>6 אדום</v>
      </c>
      <c r="AJ62" s="95" t="str">
        <f t="shared" si="18"/>
        <v>7 אדום</v>
      </c>
      <c r="AK62" s="95" t="str">
        <f t="shared" si="18"/>
        <v>8 אדום</v>
      </c>
    </row>
    <row r="63" spans="1:46" s="4" customFormat="1" ht="13.9" customHeight="1" x14ac:dyDescent="0.65">
      <c r="M63" s="1"/>
      <c r="N63" s="1"/>
      <c r="O63" s="1"/>
      <c r="P63" s="5"/>
      <c r="Q63" s="4">
        <v>0</v>
      </c>
      <c r="R63" s="4" t="str">
        <f>"E"&amp;(INT($Q63/2)+18)</f>
        <v>E18</v>
      </c>
      <c r="S63" s="4" t="str">
        <f>"F"&amp;(INT($Q63/2)+18)</f>
        <v>F18</v>
      </c>
      <c r="T63" s="4" t="str">
        <f>"G"&amp;(INT($Q63/2)+18)</f>
        <v>G18</v>
      </c>
      <c r="U63" s="4" t="str">
        <f>"H"&amp;(INT($Q63/2)+18)</f>
        <v>H18</v>
      </c>
      <c r="V63" s="4" t="str">
        <f>"I"&amp;(INT($Q63/2)+18)</f>
        <v>I18</v>
      </c>
      <c r="W63" s="4" t="str">
        <f>"J"&amp;(INT($Q63/2)+18)</f>
        <v>J18</v>
      </c>
      <c r="X63" s="4" t="str">
        <f>"K"&amp;(INT($Q63/2)+18)</f>
        <v>K18</v>
      </c>
      <c r="Y63" s="4" t="str">
        <f>"L"&amp;(INT($Q63/2)+18)</f>
        <v>L18</v>
      </c>
      <c r="AA63" s="231">
        <f>_xlfn.XLOOKUP(N,break_scheduler['# of teams],break_scheduler[Round matches])*2+1</f>
        <v>25</v>
      </c>
      <c r="AB63" s="233">
        <f>start_round_II</f>
        <v>0.51388888888888884</v>
      </c>
      <c r="AC63" s="233">
        <f>AB63+TIME(0,3,0)</f>
        <v>0.51597222222222217</v>
      </c>
      <c r="AD63" s="23" t="str" cm="1">
        <f t="array" aca="1" ref="AD63" ca="1">IFERROR(CONCATENATE(_xlfn.XLOOKUP(INDIRECT(R63),TeamList[מס"ד],TeamList[מס'' הקבוצה])," ",_xlfn.XLOOKUP(INDIRECT(R63),TeamList[מס"ד],TeamList[שם הקבוצה])),"")</f>
        <v>1371 אלזהראוי</v>
      </c>
      <c r="AE63" s="23" t="str" cm="1">
        <f t="array" aca="1" ref="AE63" ca="1">IFERROR(CONCATENATE(_xlfn.XLOOKUP(INDIRECT(S63),TeamList[מס"ד],TeamList[מס'' הקבוצה])," ",_xlfn.XLOOKUP(INDIRECT(S63),TeamList[מס"ד],TeamList[שם הקבוצה])),"")</f>
        <v>2623 גינסבורג</v>
      </c>
      <c r="AF63" s="23" t="str" cm="1">
        <f t="array" aca="1" ref="AF63" ca="1">IFERROR(CONCATENATE(_xlfn.XLOOKUP(INDIRECT(T63),TeamList[מס"ד],TeamList[מס'' הקבוצה])," ",_xlfn.XLOOKUP(INDIRECT(T63),TeamList[מס"ד],TeamList[שם הקבוצה])),"")</f>
        <v>1825 אילן רמון</v>
      </c>
      <c r="AG63" s="23" t="str" cm="1">
        <f t="array" aca="1" ref="AG63" ca="1">IFERROR(CONCATENATE(_xlfn.XLOOKUP(INDIRECT(U63),TeamList[מס"ד],TeamList[מס'' הקבוצה])," ",_xlfn.XLOOKUP(INDIRECT(U63),TeamList[מס"ד],TeamList[שם הקבוצה])),"")</f>
        <v>3163 מקיף</v>
      </c>
      <c r="AH63" s="23" t="str" cm="1">
        <f t="array" aca="1" ref="AH63" ca="1">IFERROR(CONCATENATE(_xlfn.XLOOKUP(INDIRECT(V63),TeamList[מס"ד],TeamList[מס'' הקבוצה])," ",_xlfn.XLOOKUP(INDIRECT(V63),TeamList[מס"ד],TeamList[שם הקבוצה])),"")</f>
        <v/>
      </c>
      <c r="AI63" s="23" t="str" cm="1">
        <f t="array" aca="1" ref="AI63" ca="1">IFERROR(CONCATENATE(_xlfn.XLOOKUP(INDIRECT(W63),TeamList[מס"ד],TeamList[מס'' הקבוצה])," ",_xlfn.XLOOKUP(INDIRECT(W63),TeamList[מס"ד],TeamList[שם הקבוצה])),"")</f>
        <v/>
      </c>
      <c r="AJ63" s="23" t="str" cm="1">
        <f t="array" aca="1" ref="AJ63" ca="1">IFERROR(CONCATENATE(_xlfn.XLOOKUP(INDIRECT(X63),TeamList[מס"ד],TeamList[מס'' הקבוצה])," ",_xlfn.XLOOKUP(INDIRECT(X63),TeamList[מס"ד],TeamList[שם הקבוצה])),"")</f>
        <v/>
      </c>
      <c r="AK63" s="73" t="str" cm="1">
        <f t="array" aca="1" ref="AK63" ca="1">IFERROR(CONCATENATE(_xlfn.XLOOKUP(INDIRECT(Y63),TeamList[מס"ד],TeamList[מס'' הקבוצה])," ",_xlfn.XLOOKUP(INDIRECT(Y63),TeamList[מס"ד],TeamList[שם הקבוצה])),"")</f>
        <v/>
      </c>
    </row>
    <row r="64" spans="1:46" s="4" customFormat="1" ht="13.9" customHeight="1" thickBot="1" x14ac:dyDescent="0.8">
      <c r="M64" s="1"/>
      <c r="N64" s="1"/>
      <c r="P64" s="5"/>
      <c r="Q64" s="4">
        <v>1</v>
      </c>
      <c r="R64" s="4" t="str">
        <f t="shared" ref="R64:R86" si="19">"E"&amp;(INT($Q64/2)+18)</f>
        <v>E18</v>
      </c>
      <c r="S64" s="4" t="str">
        <f t="shared" ref="S64:S86" si="20">"F"&amp;(INT($Q64/2)+18)</f>
        <v>F18</v>
      </c>
      <c r="T64" s="4" t="str">
        <f t="shared" ref="T64:T86" si="21">"G"&amp;(INT($Q64/2)+18)</f>
        <v>G18</v>
      </c>
      <c r="U64" s="4" t="str">
        <f t="shared" ref="U64:U86" si="22">"H"&amp;(INT($Q64/2)+18)</f>
        <v>H18</v>
      </c>
      <c r="V64" s="4" t="str">
        <f t="shared" ref="V64:V86" si="23">"I"&amp;(INT($Q64/2)+18)</f>
        <v>I18</v>
      </c>
      <c r="W64" s="4" t="str">
        <f t="shared" ref="W64:W86" si="24">"J"&amp;(INT($Q64/2)+18)</f>
        <v>J18</v>
      </c>
      <c r="X64" s="4" t="str">
        <f t="shared" ref="X64:X86" si="25">"K"&amp;(INT($Q64/2)+18)</f>
        <v>K18</v>
      </c>
      <c r="Y64" s="4" t="str">
        <f t="shared" ref="Y64:Y86" si="26">"L"&amp;(INT($Q64/2)+18)</f>
        <v>L18</v>
      </c>
      <c r="AA64" s="232" t="e">
        <f>_xlfn.XLOOKUP(N,#REF!,#REF!)+1</f>
        <v>#REF!</v>
      </c>
      <c r="AB64" s="234">
        <f>start_round_II</f>
        <v>0.51388888888888884</v>
      </c>
      <c r="AC64" s="234"/>
      <c r="AD64" s="84" t="str" cm="1">
        <f t="array" aca="1" ref="AD64" ca="1">IFERROR(_xlfn.XLOOKUP(INDIRECT(R64),TeamList[מס"ד],TeamList[ישוב]),"")</f>
        <v>אכסאל</v>
      </c>
      <c r="AE64" s="84" t="str" cm="1">
        <f t="array" aca="1" ref="AE64" ca="1">IFERROR(_xlfn.XLOOKUP(INDIRECT(S64),TeamList[מס"ד],TeamList[ישוב]),"")</f>
        <v>יבנה</v>
      </c>
      <c r="AF64" s="84" t="str" cm="1">
        <f t="array" aca="1" ref="AF64" ca="1">IFERROR(_xlfn.XLOOKUP(INDIRECT(T64),TeamList[מס"ד],TeamList[ישוב]),"")</f>
        <v>כפר סבא</v>
      </c>
      <c r="AG64" s="84" t="str" cm="1">
        <f t="array" aca="1" ref="AG64" ca="1">IFERROR(_xlfn.XLOOKUP(INDIRECT(U64),TeamList[מס"ד],TeamList[ישוב]),"")</f>
        <v>אעבלין</v>
      </c>
      <c r="AH64" s="84" t="str" cm="1">
        <f t="array" aca="1" ref="AH64" ca="1">IFERROR(_xlfn.XLOOKUP(INDIRECT(V64),TeamList[מס"ד],TeamList[ישוב]),"")</f>
        <v/>
      </c>
      <c r="AI64" s="84" t="str" cm="1">
        <f t="array" aca="1" ref="AI64" ca="1">IFERROR(_xlfn.XLOOKUP(INDIRECT(W64),TeamList[מס"ד],TeamList[ישוב]),"")</f>
        <v/>
      </c>
      <c r="AJ64" s="84" t="str" cm="1">
        <f t="array" aca="1" ref="AJ64" ca="1">IFERROR(_xlfn.XLOOKUP(INDIRECT(X64),TeamList[מס"ד],TeamList[ישוב]),"")</f>
        <v/>
      </c>
      <c r="AK64" s="85" t="str" cm="1">
        <f t="array" aca="1" ref="AK64" ca="1">IFERROR(_xlfn.XLOOKUP(INDIRECT(Y64),TeamList[מס"ד],TeamList[ישוב]),"")</f>
        <v/>
      </c>
    </row>
    <row r="65" spans="2:37" s="4" customFormat="1" ht="13.9" customHeight="1" x14ac:dyDescent="0.65">
      <c r="M65" s="1"/>
      <c r="N65" s="1"/>
      <c r="P65" s="5"/>
      <c r="Q65" s="4">
        <v>2</v>
      </c>
      <c r="R65" s="4" t="str">
        <f t="shared" si="19"/>
        <v>E19</v>
      </c>
      <c r="S65" s="4" t="str">
        <f t="shared" si="20"/>
        <v>F19</v>
      </c>
      <c r="T65" s="4" t="str">
        <f t="shared" si="21"/>
        <v>G19</v>
      </c>
      <c r="U65" s="4" t="str">
        <f t="shared" si="22"/>
        <v>H19</v>
      </c>
      <c r="V65" s="4" t="str">
        <f t="shared" si="23"/>
        <v>I19</v>
      </c>
      <c r="W65" s="4" t="str">
        <f t="shared" si="24"/>
        <v>J19</v>
      </c>
      <c r="X65" s="4" t="str">
        <f t="shared" si="25"/>
        <v>K19</v>
      </c>
      <c r="Y65" s="4" t="str">
        <f t="shared" si="26"/>
        <v>L19</v>
      </c>
      <c r="AA65" s="235">
        <f>AA63+1</f>
        <v>26</v>
      </c>
      <c r="AB65" s="237">
        <f>AB63+ORM</f>
        <v>0.51736111111111105</v>
      </c>
      <c r="AC65" s="237">
        <f>AB65+TIME(0,3,0)</f>
        <v>0.51944444444444438</v>
      </c>
      <c r="AD65" s="24" t="str" cm="1">
        <f t="array" aca="1" ref="AD65" ca="1">IFERROR(CONCATENATE(_xlfn.XLOOKUP(INDIRECT(R65),TeamList[מס"ד],TeamList[מס'' הקבוצה])," ",_xlfn.XLOOKUP(INDIRECT(R65),TeamList[מס"ד],TeamList[שם הקבוצה])),"")</f>
        <v/>
      </c>
      <c r="AE65" s="24" t="str" cm="1">
        <f t="array" aca="1" ref="AE65" ca="1">IFERROR(CONCATENATE(_xlfn.XLOOKUP(INDIRECT(S65),TeamList[מס"ד],TeamList[מס'' הקבוצה])," ",_xlfn.XLOOKUP(INDIRECT(S65),TeamList[מס"ד],TeamList[שם הקבוצה])),"")</f>
        <v/>
      </c>
      <c r="AF65" s="24" t="str" cm="1">
        <f t="array" aca="1" ref="AF65" ca="1">IFERROR(CONCATENATE(_xlfn.XLOOKUP(INDIRECT(T65),TeamList[מס"ד],TeamList[מס'' הקבוצה])," ",_xlfn.XLOOKUP(INDIRECT(T65),TeamList[מס"ד],TeamList[שם הקבוצה])),"")</f>
        <v/>
      </c>
      <c r="AG65" s="24" t="str" cm="1">
        <f t="array" aca="1" ref="AG65" ca="1">IFERROR(CONCATENATE(_xlfn.XLOOKUP(INDIRECT(U65),TeamList[מס"ד],TeamList[מס'' הקבוצה])," ",_xlfn.XLOOKUP(INDIRECT(U65),TeamList[מס"ד],TeamList[שם הקבוצה])),"")</f>
        <v/>
      </c>
      <c r="AH65" s="24" t="str" cm="1">
        <f t="array" aca="1" ref="AH65" ca="1">IFERROR(CONCATENATE(_xlfn.XLOOKUP(INDIRECT(V65),TeamList[מס"ד],TeamList[מס'' הקבוצה])," ",_xlfn.XLOOKUP(INDIRECT(V65),TeamList[מס"ד],TeamList[שם הקבוצה])),"")</f>
        <v>3139 ידלין</v>
      </c>
      <c r="AI65" s="24" t="str" cm="1">
        <f t="array" aca="1" ref="AI65" ca="1">IFERROR(CONCATENATE(_xlfn.XLOOKUP(INDIRECT(W65),TeamList[מס"ד],TeamList[מס'' הקבוצה])," ",_xlfn.XLOOKUP(INDIRECT(W65),TeamList[מס"ד],TeamList[שם הקבוצה])),"")</f>
        <v xml:space="preserve">2978 אל-קסטל </v>
      </c>
      <c r="AJ65" s="24" t="str" cm="1">
        <f t="array" aca="1" ref="AJ65" ca="1">IFERROR(CONCATENATE(_xlfn.XLOOKUP(INDIRECT(X65),TeamList[מס"ד],TeamList[מס'' הקבוצה])," ",_xlfn.XLOOKUP(INDIRECT(X65),TeamList[מס"ד],TeamList[שם הקבוצה])),"")</f>
        <v>3243 לאה גולדברג</v>
      </c>
      <c r="AK65" s="72" t="str" cm="1">
        <f t="array" aca="1" ref="AK65" ca="1">IFERROR(CONCATENATE(_xlfn.XLOOKUP(INDIRECT(Y65),TeamList[מס"ד],TeamList[מס'' הקבוצה])," ",_xlfn.XLOOKUP(INDIRECT(Y65),TeamList[מס"ד],TeamList[שם הקבוצה])),"")</f>
        <v>3180 פלך בנים</v>
      </c>
    </row>
    <row r="66" spans="2:37" s="4" customFormat="1" ht="13.9" customHeight="1" thickBot="1" x14ac:dyDescent="0.8">
      <c r="M66" s="1"/>
      <c r="N66" s="1"/>
      <c r="P66" s="5"/>
      <c r="Q66" s="4">
        <v>3</v>
      </c>
      <c r="R66" s="4" t="str">
        <f t="shared" si="19"/>
        <v>E19</v>
      </c>
      <c r="S66" s="4" t="str">
        <f t="shared" si="20"/>
        <v>F19</v>
      </c>
      <c r="T66" s="4" t="str">
        <f t="shared" si="21"/>
        <v>G19</v>
      </c>
      <c r="U66" s="4" t="str">
        <f t="shared" si="22"/>
        <v>H19</v>
      </c>
      <c r="V66" s="4" t="str">
        <f t="shared" si="23"/>
        <v>I19</v>
      </c>
      <c r="W66" s="4" t="str">
        <f t="shared" si="24"/>
        <v>J19</v>
      </c>
      <c r="X66" s="4" t="str">
        <f t="shared" si="25"/>
        <v>K19</v>
      </c>
      <c r="Y66" s="4" t="str">
        <f t="shared" si="26"/>
        <v>L19</v>
      </c>
      <c r="AA66" s="236"/>
      <c r="AB66" s="238"/>
      <c r="AC66" s="238"/>
      <c r="AD66" s="86" t="str" cm="1">
        <f t="array" aca="1" ref="AD66" ca="1">IFERROR(_xlfn.XLOOKUP(INDIRECT(R66),TeamList[מס"ד],TeamList[ישוב]),"")</f>
        <v/>
      </c>
      <c r="AE66" s="86" t="str" cm="1">
        <f t="array" aca="1" ref="AE66" ca="1">IFERROR(_xlfn.XLOOKUP(INDIRECT(S66),TeamList[מס"ד],TeamList[ישוב]),"")</f>
        <v/>
      </c>
      <c r="AF66" s="86" t="str" cm="1">
        <f t="array" aca="1" ref="AF66" ca="1">IFERROR(_xlfn.XLOOKUP(INDIRECT(T66),TeamList[מס"ד],TeamList[ישוב]),"")</f>
        <v/>
      </c>
      <c r="AG66" s="86" t="str" cm="1">
        <f t="array" aca="1" ref="AG66" ca="1">IFERROR(_xlfn.XLOOKUP(INDIRECT(U66),TeamList[מס"ד],TeamList[ישוב]),"")</f>
        <v/>
      </c>
      <c r="AH66" s="86" t="str" cm="1">
        <f t="array" aca="1" ref="AH66" ca="1">IFERROR(_xlfn.XLOOKUP(INDIRECT(V66),TeamList[מס"ד],TeamList[ישוב]),"")</f>
        <v>ראשון לציון</v>
      </c>
      <c r="AI66" s="86" t="str" cm="1">
        <f t="array" aca="1" ref="AI66" ca="1">IFERROR(_xlfn.XLOOKUP(INDIRECT(W66),TeamList[מס"ד],TeamList[ישוב]),"")</f>
        <v>נצרת</v>
      </c>
      <c r="AJ66" s="86" t="str" cm="1">
        <f t="array" aca="1" ref="AJ66" ca="1">IFERROR(_xlfn.XLOOKUP(INDIRECT(X66),TeamList[מס"ד],TeamList[ישוב]),"")</f>
        <v>נתניה</v>
      </c>
      <c r="AK66" s="87" t="str" cm="1">
        <f t="array" aca="1" ref="AK66" ca="1">IFERROR(_xlfn.XLOOKUP(INDIRECT(Y66),TeamList[מס"ד],TeamList[ישוב]),"")</f>
        <v>ירושלים</v>
      </c>
    </row>
    <row r="67" spans="2:37" s="4" customFormat="1" ht="13.9" customHeight="1" x14ac:dyDescent="0.65">
      <c r="P67" s="5"/>
      <c r="Q67" s="4">
        <v>4</v>
      </c>
      <c r="R67" s="4" t="str">
        <f t="shared" si="19"/>
        <v>E20</v>
      </c>
      <c r="S67" s="4" t="str">
        <f t="shared" si="20"/>
        <v>F20</v>
      </c>
      <c r="T67" s="4" t="str">
        <f t="shared" si="21"/>
        <v>G20</v>
      </c>
      <c r="U67" s="4" t="str">
        <f t="shared" si="22"/>
        <v>H20</v>
      </c>
      <c r="V67" s="4" t="str">
        <f t="shared" si="23"/>
        <v>I20</v>
      </c>
      <c r="W67" s="4" t="str">
        <f t="shared" si="24"/>
        <v>J20</v>
      </c>
      <c r="X67" s="4" t="str">
        <f t="shared" si="25"/>
        <v>K20</v>
      </c>
      <c r="Y67" s="4" t="str">
        <f t="shared" si="26"/>
        <v>L20</v>
      </c>
      <c r="AA67" s="231">
        <f>AA65+1</f>
        <v>27</v>
      </c>
      <c r="AB67" s="233">
        <f>AB65+ORM</f>
        <v>0.52083333333333326</v>
      </c>
      <c r="AC67" s="233">
        <f>AB67+TIME(0,3,0)</f>
        <v>0.52291666666666659</v>
      </c>
      <c r="AD67" s="23" t="str" cm="1">
        <f t="array" aca="1" ref="AD67" ca="1">IFERROR(CONCATENATE(_xlfn.XLOOKUP(INDIRECT(R67),TeamList[מס"ד],TeamList[מס'' הקבוצה])," ",_xlfn.XLOOKUP(INDIRECT(R67),TeamList[מס"ד],TeamList[שם הקבוצה])),"")</f>
        <v xml:space="preserve">515 אשכול פיס </v>
      </c>
      <c r="AE67" s="23" t="str" cm="1">
        <f t="array" aca="1" ref="AE67" ca="1">IFERROR(CONCATENATE(_xlfn.XLOOKUP(INDIRECT(S67),TeamList[מס"ד],TeamList[מס'' הקבוצה])," ",_xlfn.XLOOKUP(INDIRECT(S67),TeamList[מס"ד],TeamList[שם הקבוצה])),"")</f>
        <v xml:space="preserve">588 אבן סינא </v>
      </c>
      <c r="AF67" s="23" t="str" cm="1">
        <f t="array" aca="1" ref="AF67" ca="1">IFERROR(CONCATENATE(_xlfn.XLOOKUP(INDIRECT(T67),TeamList[מס"ד],TeamList[מס'' הקבוצה])," ",_xlfn.XLOOKUP(INDIRECT(T67),TeamList[מס"ד],TeamList[שם הקבוצה])),"")</f>
        <v xml:space="preserve">2954 עתידים </v>
      </c>
      <c r="AG67" s="23" t="str" cm="1">
        <f t="array" aca="1" ref="AG67" ca="1">IFERROR(CONCATENATE(_xlfn.XLOOKUP(INDIRECT(U67),TeamList[מס"ד],TeamList[מס'' הקבוצה])," ",_xlfn.XLOOKUP(INDIRECT(U67),TeamList[מס"ד],TeamList[שם הקבוצה])),"")</f>
        <v>1042 כרמים</v>
      </c>
      <c r="AH67" s="23" t="str" cm="1">
        <f t="array" aca="1" ref="AH67" ca="1">IFERROR(CONCATENATE(_xlfn.XLOOKUP(INDIRECT(V67),TeamList[מס"ד],TeamList[מס'' הקבוצה])," ",_xlfn.XLOOKUP(INDIRECT(V67),TeamList[מס"ד],TeamList[שם הקבוצה])),"")</f>
        <v/>
      </c>
      <c r="AI67" s="23" t="str" cm="1">
        <f t="array" aca="1" ref="AI67" ca="1">IFERROR(CONCATENATE(_xlfn.XLOOKUP(INDIRECT(W67),TeamList[מס"ד],TeamList[מס'' הקבוצה])," ",_xlfn.XLOOKUP(INDIRECT(W67),TeamList[מס"ד],TeamList[שם הקבוצה])),"")</f>
        <v/>
      </c>
      <c r="AJ67" s="23" t="str" cm="1">
        <f t="array" aca="1" ref="AJ67" ca="1">IFERROR(CONCATENATE(_xlfn.XLOOKUP(INDIRECT(X67),TeamList[מס"ד],TeamList[מס'' הקבוצה])," ",_xlfn.XLOOKUP(INDIRECT(X67),TeamList[מס"ד],TeamList[שם הקבוצה])),"")</f>
        <v/>
      </c>
      <c r="AK67" s="73" t="str" cm="1">
        <f t="array" aca="1" ref="AK67" ca="1">IFERROR(CONCATENATE(_xlfn.XLOOKUP(INDIRECT(Y67),TeamList[מס"ד],TeamList[מס'' הקבוצה])," ",_xlfn.XLOOKUP(INDIRECT(Y67),TeamList[מס"ד],TeamList[שם הקבוצה])),"")</f>
        <v/>
      </c>
    </row>
    <row r="68" spans="2:37" s="4" customFormat="1" ht="13.9" customHeight="1" thickBot="1" x14ac:dyDescent="0.8">
      <c r="B68" s="2"/>
      <c r="C68" s="5"/>
      <c r="D68" s="5"/>
      <c r="E68" s="1"/>
      <c r="F68" s="1"/>
      <c r="G68" s="1"/>
      <c r="H68" s="1"/>
      <c r="I68" s="1"/>
      <c r="J68" s="1"/>
      <c r="K68" s="1"/>
      <c r="L68" s="1"/>
      <c r="P68" s="5"/>
      <c r="Q68" s="4">
        <v>5</v>
      </c>
      <c r="R68" s="4" t="str">
        <f t="shared" si="19"/>
        <v>E20</v>
      </c>
      <c r="S68" s="4" t="str">
        <f t="shared" si="20"/>
        <v>F20</v>
      </c>
      <c r="T68" s="4" t="str">
        <f t="shared" si="21"/>
        <v>G20</v>
      </c>
      <c r="U68" s="4" t="str">
        <f t="shared" si="22"/>
        <v>H20</v>
      </c>
      <c r="V68" s="4" t="str">
        <f t="shared" si="23"/>
        <v>I20</v>
      </c>
      <c r="W68" s="4" t="str">
        <f t="shared" si="24"/>
        <v>J20</v>
      </c>
      <c r="X68" s="4" t="str">
        <f t="shared" si="25"/>
        <v>K20</v>
      </c>
      <c r="Y68" s="4" t="str">
        <f t="shared" si="26"/>
        <v>L20</v>
      </c>
      <c r="AA68" s="232"/>
      <c r="AB68" s="234"/>
      <c r="AC68" s="234"/>
      <c r="AD68" s="84" t="str" cm="1">
        <f t="array" aca="1" ref="AD68" ca="1">IFERROR(_xlfn.XLOOKUP(INDIRECT(R68),TeamList[מס"ד],TeamList[ישוב]),"")</f>
        <v>נס ציונה</v>
      </c>
      <c r="AE68" s="84" t="str" cm="1">
        <f t="array" aca="1" ref="AE68" ca="1">IFERROR(_xlfn.XLOOKUP(INDIRECT(S68),TeamList[מס"ד],TeamList[ישוב]),"")</f>
        <v>כפר קרע</v>
      </c>
      <c r="AF68" s="84" t="str" cm="1">
        <f t="array" aca="1" ref="AF68" ca="1">IFERROR(_xlfn.XLOOKUP(INDIRECT(T68),TeamList[מס"ד],TeamList[ישוב]),"")</f>
        <v>חולון</v>
      </c>
      <c r="AG68" s="84" t="str" cm="1">
        <f t="array" aca="1" ref="AG68" ca="1">IFERROR(_xlfn.XLOOKUP(INDIRECT(U68),TeamList[מס"ד],TeamList[ישוב]),"")</f>
        <v>בנימינה-גבעת עדה</v>
      </c>
      <c r="AH68" s="84" t="str" cm="1">
        <f t="array" aca="1" ref="AH68" ca="1">IFERROR(_xlfn.XLOOKUP(INDIRECT(V68),TeamList[מס"ד],TeamList[ישוב]),"")</f>
        <v/>
      </c>
      <c r="AI68" s="84" t="str" cm="1">
        <f t="array" aca="1" ref="AI68" ca="1">IFERROR(_xlfn.XLOOKUP(INDIRECT(W68),TeamList[מס"ד],TeamList[ישוב]),"")</f>
        <v/>
      </c>
      <c r="AJ68" s="84" t="str" cm="1">
        <f t="array" aca="1" ref="AJ68" ca="1">IFERROR(_xlfn.XLOOKUP(INDIRECT(X68),TeamList[מס"ד],TeamList[ישוב]),"")</f>
        <v/>
      </c>
      <c r="AK68" s="85" t="str" cm="1">
        <f t="array" aca="1" ref="AK68" ca="1">IFERROR(_xlfn.XLOOKUP(INDIRECT(Y68),TeamList[מס"ד],TeamList[ישוב]),"")</f>
        <v/>
      </c>
    </row>
    <row r="69" spans="2:37" s="4" customFormat="1" ht="13.9" customHeight="1" x14ac:dyDescent="0.65">
      <c r="B69" s="2"/>
      <c r="C69" s="5"/>
      <c r="D69" s="5"/>
      <c r="E69" s="1"/>
      <c r="F69" s="1"/>
      <c r="G69" s="1"/>
      <c r="H69" s="1"/>
      <c r="I69" s="1"/>
      <c r="J69" s="1"/>
      <c r="K69" s="1"/>
      <c r="L69" s="1"/>
      <c r="P69" s="5"/>
      <c r="Q69" s="4">
        <v>6</v>
      </c>
      <c r="R69" s="4" t="str">
        <f t="shared" si="19"/>
        <v>E21</v>
      </c>
      <c r="S69" s="4" t="str">
        <f t="shared" si="20"/>
        <v>F21</v>
      </c>
      <c r="T69" s="4" t="str">
        <f t="shared" si="21"/>
        <v>G21</v>
      </c>
      <c r="U69" s="4" t="str">
        <f t="shared" si="22"/>
        <v>H21</v>
      </c>
      <c r="V69" s="4" t="str">
        <f t="shared" si="23"/>
        <v>I21</v>
      </c>
      <c r="W69" s="4" t="str">
        <f t="shared" si="24"/>
        <v>J21</v>
      </c>
      <c r="X69" s="4" t="str">
        <f t="shared" si="25"/>
        <v>K21</v>
      </c>
      <c r="Y69" s="4" t="str">
        <f t="shared" si="26"/>
        <v>L21</v>
      </c>
      <c r="AA69" s="235">
        <f>AA67+1</f>
        <v>28</v>
      </c>
      <c r="AB69" s="237">
        <f>AB67+ORM</f>
        <v>0.52430555555555547</v>
      </c>
      <c r="AC69" s="237">
        <f>AB69+TIME(0,3,0)</f>
        <v>0.5263888888888888</v>
      </c>
      <c r="AD69" s="24" t="str" cm="1">
        <f t="array" aca="1" ref="AD69" ca="1">IFERROR(CONCATENATE(_xlfn.XLOOKUP(INDIRECT(R69),TeamList[מס"ד],TeamList[מס'' הקבוצה])," ",_xlfn.XLOOKUP(INDIRECT(R69),TeamList[מס"ד],TeamList[שם הקבוצה])),"")</f>
        <v/>
      </c>
      <c r="AE69" s="24" t="str" cm="1">
        <f t="array" aca="1" ref="AE69" ca="1">IFERROR(CONCATENATE(_xlfn.XLOOKUP(INDIRECT(S69),TeamList[מס"ד],TeamList[מס'' הקבוצה])," ",_xlfn.XLOOKUP(INDIRECT(S69),TeamList[מס"ד],TeamList[שם הקבוצה])),"")</f>
        <v/>
      </c>
      <c r="AF69" s="24" t="str" cm="1">
        <f t="array" aca="1" ref="AF69" ca="1">IFERROR(CONCATENATE(_xlfn.XLOOKUP(INDIRECT(T69),TeamList[מס"ד],TeamList[מס'' הקבוצה])," ",_xlfn.XLOOKUP(INDIRECT(T69),TeamList[מס"ד],TeamList[שם הקבוצה])),"")</f>
        <v/>
      </c>
      <c r="AG69" s="24" t="str" cm="1">
        <f t="array" aca="1" ref="AG69" ca="1">IFERROR(CONCATENATE(_xlfn.XLOOKUP(INDIRECT(U69),TeamList[מס"ד],TeamList[מס'' הקבוצה])," ",_xlfn.XLOOKUP(INDIRECT(U69),TeamList[מס"ד],TeamList[שם הקבוצה])),"")</f>
        <v/>
      </c>
      <c r="AH69" s="24" t="str" cm="1">
        <f t="array" aca="1" ref="AH69" ca="1">IFERROR(CONCATENATE(_xlfn.XLOOKUP(INDIRECT(V69),TeamList[מס"ד],TeamList[מס'' הקבוצה])," ",_xlfn.XLOOKUP(INDIRECT(V69),TeamList[מס"ד],TeamList[שם הקבוצה])),"")</f>
        <v xml:space="preserve">3022 אברט </v>
      </c>
      <c r="AI69" s="24" t="str" cm="1">
        <f t="array" aca="1" ref="AI69" ca="1">IFERROR(CONCATENATE(_xlfn.XLOOKUP(INDIRECT(W69),TeamList[מס"ד],TeamList[מס'' הקבוצה])," ",_xlfn.XLOOKUP(INDIRECT(W69),TeamList[מס"ד],TeamList[שם הקבוצה])),"")</f>
        <v xml:space="preserve">341 עירוני ד </v>
      </c>
      <c r="AJ69" s="24" t="str" cm="1">
        <f t="array" aca="1" ref="AJ69" ca="1">IFERROR(CONCATENATE(_xlfn.XLOOKUP(INDIRECT(X69),TeamList[מס"ד],TeamList[מס'' הקבוצה])," ",_xlfn.XLOOKUP(INDIRECT(X69),TeamList[מס"ד],TeamList[שם הקבוצה])),"")</f>
        <v xml:space="preserve">2977 הנדסאים </v>
      </c>
      <c r="AK69" s="72" t="str" cm="1">
        <f t="array" aca="1" ref="AK69" ca="1">IFERROR(CONCATENATE(_xlfn.XLOOKUP(INDIRECT(Y69),TeamList[מס"ד],TeamList[מס'' הקבוצה])," ",_xlfn.XLOOKUP(INDIRECT(Y69),TeamList[מס"ד],TeamList[שם הקבוצה])),"")</f>
        <v>3185 תיכון דרך</v>
      </c>
    </row>
    <row r="70" spans="2:37" s="4" customFormat="1" ht="13.9" customHeight="1" thickBot="1" x14ac:dyDescent="0.8">
      <c r="B70" s="2"/>
      <c r="C70" s="5"/>
      <c r="D70" s="5"/>
      <c r="E70" s="1"/>
      <c r="F70" s="1"/>
      <c r="G70" s="1"/>
      <c r="H70" s="1"/>
      <c r="I70" s="1"/>
      <c r="J70" s="1"/>
      <c r="K70" s="1"/>
      <c r="L70" s="1"/>
      <c r="O70" s="1"/>
      <c r="P70" s="5"/>
      <c r="Q70" s="4">
        <v>7</v>
      </c>
      <c r="R70" s="4" t="str">
        <f t="shared" si="19"/>
        <v>E21</v>
      </c>
      <c r="S70" s="4" t="str">
        <f t="shared" si="20"/>
        <v>F21</v>
      </c>
      <c r="T70" s="4" t="str">
        <f t="shared" si="21"/>
        <v>G21</v>
      </c>
      <c r="U70" s="4" t="str">
        <f t="shared" si="22"/>
        <v>H21</v>
      </c>
      <c r="V70" s="4" t="str">
        <f t="shared" si="23"/>
        <v>I21</v>
      </c>
      <c r="W70" s="4" t="str">
        <f t="shared" si="24"/>
        <v>J21</v>
      </c>
      <c r="X70" s="4" t="str">
        <f t="shared" si="25"/>
        <v>K21</v>
      </c>
      <c r="Y70" s="4" t="str">
        <f t="shared" si="26"/>
        <v>L21</v>
      </c>
      <c r="AA70" s="236"/>
      <c r="AB70" s="238"/>
      <c r="AC70" s="238"/>
      <c r="AD70" s="86" t="str" cm="1">
        <f t="array" aca="1" ref="AD70" ca="1">IFERROR(_xlfn.XLOOKUP(INDIRECT(R70),TeamList[מס"ד],TeamList[ישוב]),"")</f>
        <v/>
      </c>
      <c r="AE70" s="86" t="str" cm="1">
        <f t="array" aca="1" ref="AE70" ca="1">IFERROR(_xlfn.XLOOKUP(INDIRECT(S70),TeamList[מס"ד],TeamList[ישוב]),"")</f>
        <v/>
      </c>
      <c r="AF70" s="86" t="str" cm="1">
        <f t="array" aca="1" ref="AF70" ca="1">IFERROR(_xlfn.XLOOKUP(INDIRECT(T70),TeamList[מס"ד],TeamList[ישוב]),"")</f>
        <v/>
      </c>
      <c r="AG70" s="86" t="str" cm="1">
        <f t="array" aca="1" ref="AG70" ca="1">IFERROR(_xlfn.XLOOKUP(INDIRECT(U70),TeamList[מס"ד],TeamList[ישוב]),"")</f>
        <v/>
      </c>
      <c r="AH70" s="86" t="str" cm="1">
        <f t="array" aca="1" ref="AH70" ca="1">IFERROR(_xlfn.XLOOKUP(INDIRECT(V70),TeamList[מס"ד],TeamList[ישוב]),"")</f>
        <v>חצור הגלילית</v>
      </c>
      <c r="AI70" s="86" t="str" cm="1">
        <f t="array" aca="1" ref="AI70" ca="1">IFERROR(_xlfn.XLOOKUP(INDIRECT(W70),TeamList[מס"ד],TeamList[ישוב]),"")</f>
        <v>מודיעין-מכבים-רעות</v>
      </c>
      <c r="AJ70" s="86" t="str" cm="1">
        <f t="array" aca="1" ref="AJ70" ca="1">IFERROR(_xlfn.XLOOKUP(INDIRECT(X70),TeamList[מס"ד],TeamList[ישוב]),"")</f>
        <v>הרצליה</v>
      </c>
      <c r="AK70" s="87" t="str" cm="1">
        <f t="array" aca="1" ref="AK70" ca="1">IFERROR(_xlfn.XLOOKUP(INDIRECT(Y70),TeamList[מס"ד],TeamList[ישוב]),"")</f>
        <v>ירושלים</v>
      </c>
    </row>
    <row r="71" spans="2:37" s="4" customFormat="1" ht="13.9" customHeight="1" x14ac:dyDescent="0.65">
      <c r="B71" s="2"/>
      <c r="C71" s="5"/>
      <c r="D71" s="5"/>
      <c r="E71" s="1"/>
      <c r="F71" s="1"/>
      <c r="G71" s="1"/>
      <c r="H71" s="1"/>
      <c r="I71" s="1"/>
      <c r="J71" s="1"/>
      <c r="K71" s="1"/>
      <c r="L71" s="1"/>
      <c r="O71" s="1"/>
      <c r="P71" s="5"/>
      <c r="Q71" s="4">
        <v>8</v>
      </c>
      <c r="R71" s="4" t="str">
        <f t="shared" si="19"/>
        <v>E22</v>
      </c>
      <c r="S71" s="4" t="str">
        <f t="shared" si="20"/>
        <v>F22</v>
      </c>
      <c r="T71" s="4" t="str">
        <f t="shared" si="21"/>
        <v>G22</v>
      </c>
      <c r="U71" s="4" t="str">
        <f t="shared" si="22"/>
        <v>H22</v>
      </c>
      <c r="V71" s="4" t="str">
        <f t="shared" si="23"/>
        <v>I22</v>
      </c>
      <c r="W71" s="4" t="str">
        <f t="shared" si="24"/>
        <v>J22</v>
      </c>
      <c r="X71" s="4" t="str">
        <f t="shared" si="25"/>
        <v>K22</v>
      </c>
      <c r="Y71" s="4" t="str">
        <f t="shared" si="26"/>
        <v>L22</v>
      </c>
      <c r="AA71" s="231">
        <f>AA69+1</f>
        <v>29</v>
      </c>
      <c r="AB71" s="233">
        <f>AB69+ORM</f>
        <v>0.52777777777777768</v>
      </c>
      <c r="AC71" s="233">
        <f>AB71+TIME(0,3,0)</f>
        <v>0.52986111111111101</v>
      </c>
      <c r="AD71" s="23" t="str" cm="1">
        <f t="array" aca="1" ref="AD71" ca="1">IFERROR(CONCATENATE(_xlfn.XLOOKUP(INDIRECT(R71),TeamList[מס"ד],TeamList[מס'' הקבוצה])," ",_xlfn.XLOOKUP(INDIRECT(R71),TeamList[מס"ד],TeamList[שם הקבוצה])),"")</f>
        <v>1152 אל זהראא ב</v>
      </c>
      <c r="AE71" s="23" t="str" cm="1">
        <f t="array" aca="1" ref="AE71" ca="1">IFERROR(CONCATENATE(_xlfn.XLOOKUP(INDIRECT(S71),TeamList[מס"ד],TeamList[מס'' הקבוצה])," ",_xlfn.XLOOKUP(INDIRECT(S71),TeamList[מס"ד],TeamList[שם הקבוצה])),"")</f>
        <v>2222 אפרתה</v>
      </c>
      <c r="AF71" s="23" t="str" cm="1">
        <f t="array" aca="1" ref="AF71" ca="1">IFERROR(CONCATENATE(_xlfn.XLOOKUP(INDIRECT(T71),TeamList[מס"ד],TeamList[מס'' הקבוצה])," ",_xlfn.XLOOKUP(INDIRECT(T71),TeamList[מס"ד],TeamList[שם הקבוצה])),"")</f>
        <v>1083 AGCTeam</v>
      </c>
      <c r="AG71" s="219" t="str" cm="1">
        <f t="array" aca="1" ref="AG71" ca="1">IFERROR(CONCATENATE(_xlfn.XLOOKUP(INDIRECT(U71),TeamList[מס"ד],TeamList[מס'' הקבוצה])," ",_xlfn.XLOOKUP(INDIRECT(U71),TeamList[מס"ד],TeamList[שם הקבוצה])),"")</f>
        <v>3179 נצח ישראל</v>
      </c>
      <c r="AH71" s="23" t="str" cm="1">
        <f t="array" aca="1" ref="AH71" ca="1">IFERROR(CONCATENATE(_xlfn.XLOOKUP(INDIRECT(V71),TeamList[מס"ד],TeamList[מס'' הקבוצה])," ",_xlfn.XLOOKUP(INDIRECT(V71),TeamList[מס"ד],TeamList[שם הקבוצה])),"")</f>
        <v/>
      </c>
      <c r="AI71" s="23" t="str" cm="1">
        <f t="array" aca="1" ref="AI71" ca="1">IFERROR(CONCATENATE(_xlfn.XLOOKUP(INDIRECT(W71),TeamList[מס"ד],TeamList[מס'' הקבוצה])," ",_xlfn.XLOOKUP(INDIRECT(W71),TeamList[מס"ד],TeamList[שם הקבוצה])),"")</f>
        <v/>
      </c>
      <c r="AJ71" s="23" t="str" cm="1">
        <f t="array" aca="1" ref="AJ71" ca="1">IFERROR(CONCATENATE(_xlfn.XLOOKUP(INDIRECT(X71),TeamList[מס"ד],TeamList[מס'' הקבוצה])," ",_xlfn.XLOOKUP(INDIRECT(X71),TeamList[מס"ד],TeamList[שם הקבוצה])),"")</f>
        <v/>
      </c>
      <c r="AK71" s="73" t="str" cm="1">
        <f t="array" aca="1" ref="AK71" ca="1">IFERROR(CONCATENATE(_xlfn.XLOOKUP(INDIRECT(Y71),TeamList[מס"ד],TeamList[מס'' הקבוצה])," ",_xlfn.XLOOKUP(INDIRECT(Y71),TeamList[מס"ד],TeamList[שם הקבוצה])),"")</f>
        <v/>
      </c>
    </row>
    <row r="72" spans="2:37" s="4" customFormat="1" ht="13.9" customHeight="1" thickBot="1" x14ac:dyDescent="0.8">
      <c r="B72" s="2"/>
      <c r="C72" s="5"/>
      <c r="D72" s="5"/>
      <c r="E72" s="1"/>
      <c r="F72" s="1"/>
      <c r="G72" s="1"/>
      <c r="H72" s="1"/>
      <c r="I72" s="1"/>
      <c r="J72" s="1"/>
      <c r="K72" s="1"/>
      <c r="L72" s="1"/>
      <c r="O72" s="1"/>
      <c r="P72" s="5"/>
      <c r="Q72" s="4">
        <v>9</v>
      </c>
      <c r="R72" s="4" t="str">
        <f t="shared" si="19"/>
        <v>E22</v>
      </c>
      <c r="S72" s="4" t="str">
        <f t="shared" si="20"/>
        <v>F22</v>
      </c>
      <c r="T72" s="4" t="str">
        <f t="shared" si="21"/>
        <v>G22</v>
      </c>
      <c r="U72" s="4" t="str">
        <f t="shared" si="22"/>
        <v>H22</v>
      </c>
      <c r="V72" s="4" t="str">
        <f t="shared" si="23"/>
        <v>I22</v>
      </c>
      <c r="W72" s="4" t="str">
        <f t="shared" si="24"/>
        <v>J22</v>
      </c>
      <c r="X72" s="4" t="str">
        <f t="shared" si="25"/>
        <v>K22</v>
      </c>
      <c r="Y72" s="4" t="str">
        <f t="shared" si="26"/>
        <v>L22</v>
      </c>
      <c r="AA72" s="232"/>
      <c r="AB72" s="234"/>
      <c r="AC72" s="234"/>
      <c r="AD72" s="84" t="str" cm="1">
        <f t="array" aca="1" ref="AD72" ca="1">IFERROR(_xlfn.XLOOKUP(INDIRECT(R72),TeamList[מס"ד],TeamList[ישוב]),"")</f>
        <v>נצרת</v>
      </c>
      <c r="AE72" s="84" t="str" cm="1">
        <f t="array" aca="1" ref="AE72" ca="1">IFERROR(_xlfn.XLOOKUP(INDIRECT(S72),TeamList[מס"ד],TeamList[ישוב]),"")</f>
        <v>ירושלים</v>
      </c>
      <c r="AF72" s="84" t="str" cm="1">
        <f t="array" aca="1" ref="AF72" ca="1">IFERROR(_xlfn.XLOOKUP(INDIRECT(T72),TeamList[מס"ד],TeamList[ישוב]),"")</f>
        <v>אלון הגליל</v>
      </c>
      <c r="AG72" s="84" t="str" cm="1">
        <f t="array" aca="1" ref="AG72" ca="1">IFERROR(_xlfn.XLOOKUP(INDIRECT(U72),TeamList[מס"ד],TeamList[ישוב]),"")</f>
        <v>בית שמש</v>
      </c>
      <c r="AH72" s="84" t="str" cm="1">
        <f t="array" aca="1" ref="AH72" ca="1">IFERROR(_xlfn.XLOOKUP(INDIRECT(V72),TeamList[מס"ד],TeamList[ישוב]),"")</f>
        <v/>
      </c>
      <c r="AI72" s="84" t="str" cm="1">
        <f t="array" aca="1" ref="AI72" ca="1">IFERROR(_xlfn.XLOOKUP(INDIRECT(W72),TeamList[מס"ד],TeamList[ישוב]),"")</f>
        <v/>
      </c>
      <c r="AJ72" s="84" t="str" cm="1">
        <f t="array" aca="1" ref="AJ72" ca="1">IFERROR(_xlfn.XLOOKUP(INDIRECT(X72),TeamList[מס"ד],TeamList[ישוב]),"")</f>
        <v/>
      </c>
      <c r="AK72" s="85" t="str" cm="1">
        <f t="array" aca="1" ref="AK72" ca="1">IFERROR(_xlfn.XLOOKUP(INDIRECT(Y72),TeamList[מס"ד],TeamList[ישוב]),"")</f>
        <v/>
      </c>
    </row>
    <row r="73" spans="2:37" s="4" customFormat="1" ht="13.9" customHeight="1" x14ac:dyDescent="0.65">
      <c r="B73" s="2"/>
      <c r="C73" s="5"/>
      <c r="D73" s="5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5"/>
      <c r="Q73" s="4">
        <v>10</v>
      </c>
      <c r="R73" s="4" t="str">
        <f t="shared" si="19"/>
        <v>E23</v>
      </c>
      <c r="S73" s="4" t="str">
        <f t="shared" si="20"/>
        <v>F23</v>
      </c>
      <c r="T73" s="4" t="str">
        <f t="shared" si="21"/>
        <v>G23</v>
      </c>
      <c r="U73" s="4" t="str">
        <f t="shared" si="22"/>
        <v>H23</v>
      </c>
      <c r="V73" s="4" t="str">
        <f t="shared" si="23"/>
        <v>I23</v>
      </c>
      <c r="W73" s="4" t="str">
        <f t="shared" si="24"/>
        <v>J23</v>
      </c>
      <c r="X73" s="4" t="str">
        <f t="shared" si="25"/>
        <v>K23</v>
      </c>
      <c r="Y73" s="4" t="str">
        <f t="shared" si="26"/>
        <v>L23</v>
      </c>
      <c r="AA73" s="235">
        <f>AA71+1</f>
        <v>30</v>
      </c>
      <c r="AB73" s="237">
        <f>AB71+ORM</f>
        <v>0.53124999999999989</v>
      </c>
      <c r="AC73" s="237">
        <f>AB73+TIME(0,3,0)</f>
        <v>0.53333333333333321</v>
      </c>
      <c r="AD73" s="24" t="str" cm="1">
        <f t="array" aca="1" ref="AD73" ca="1">IFERROR(CONCATENATE(_xlfn.XLOOKUP(INDIRECT(R73),TeamList[מס"ד],TeamList[מס'' הקבוצה])," ",_xlfn.XLOOKUP(INDIRECT(R73),TeamList[מס"ד],TeamList[שם הקבוצה])),"")</f>
        <v/>
      </c>
      <c r="AE73" s="24" t="str" cm="1">
        <f t="array" aca="1" ref="AE73" ca="1">IFERROR(CONCATENATE(_xlfn.XLOOKUP(INDIRECT(S73),TeamList[מס"ד],TeamList[מס'' הקבוצה])," ",_xlfn.XLOOKUP(INDIRECT(S73),TeamList[מס"ד],TeamList[שם הקבוצה])),"")</f>
        <v/>
      </c>
      <c r="AF73" s="24" t="str" cm="1">
        <f t="array" aca="1" ref="AF73" ca="1">IFERROR(CONCATENATE(_xlfn.XLOOKUP(INDIRECT(T73),TeamList[מס"ד],TeamList[מס'' הקבוצה])," ",_xlfn.XLOOKUP(INDIRECT(T73),TeamList[מס"ד],TeamList[שם הקבוצה])),"")</f>
        <v/>
      </c>
      <c r="AG73" s="24" t="str" cm="1">
        <f t="array" aca="1" ref="AG73" ca="1">IFERROR(CONCATENATE(_xlfn.XLOOKUP(INDIRECT(U73),TeamList[מס"ד],TeamList[מס'' הקבוצה])," ",_xlfn.XLOOKUP(INDIRECT(U73),TeamList[מס"ד],TeamList[שם הקבוצה])),"")</f>
        <v/>
      </c>
      <c r="AH73" s="24" t="str" cm="1">
        <f t="array" aca="1" ref="AH73" ca="1">IFERROR(CONCATENATE(_xlfn.XLOOKUP(INDIRECT(V73),TeamList[מס"ד],TeamList[מס'' הקבוצה])," ",_xlfn.XLOOKUP(INDIRECT(V73),TeamList[מס"ד],TeamList[שם הקבוצה])),"")</f>
        <v>1864 אפרתה</v>
      </c>
      <c r="AI73" s="24" t="str" cm="1">
        <f t="array" aca="1" ref="AI73" ca="1">IFERROR(CONCATENATE(_xlfn.XLOOKUP(INDIRECT(W73),TeamList[מס"ד],TeamList[מס'' הקבוצה])," ",_xlfn.XLOOKUP(INDIRECT(W73),TeamList[מס"ד],TeamList[שם הקבוצה])),"")</f>
        <v>3181 פלך בנים</v>
      </c>
      <c r="AJ73" s="24" t="str" cm="1">
        <f t="array" aca="1" ref="AJ73" ca="1">IFERROR(CONCATENATE(_xlfn.XLOOKUP(INDIRECT(X73),TeamList[מס"ד],TeamList[מס'' הקבוצה])," ",_xlfn.XLOOKUP(INDIRECT(X73),TeamList[מס"ד],TeamList[שם הקבוצה])),"")</f>
        <v>1043 עתיד כרמים</v>
      </c>
      <c r="AK73" s="72" t="str" cm="1">
        <f t="array" aca="1" ref="AK73" ca="1">IFERROR(CONCATENATE(_xlfn.XLOOKUP(INDIRECT(Y73),TeamList[מס"ד],TeamList[מס'' הקבוצה])," ",_xlfn.XLOOKUP(INDIRECT(Y73),TeamList[מס"ד],TeamList[שם הקבוצה])),"")</f>
        <v>3146 אלבוכארי</v>
      </c>
    </row>
    <row r="74" spans="2:37" s="4" customFormat="1" ht="13.9" customHeight="1" thickBot="1" x14ac:dyDescent="0.8">
      <c r="B74" s="2"/>
      <c r="C74" s="5"/>
      <c r="D74" s="5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5"/>
      <c r="Q74" s="4">
        <v>11</v>
      </c>
      <c r="R74" s="4" t="str">
        <f t="shared" si="19"/>
        <v>E23</v>
      </c>
      <c r="S74" s="4" t="str">
        <f t="shared" si="20"/>
        <v>F23</v>
      </c>
      <c r="T74" s="4" t="str">
        <f t="shared" si="21"/>
        <v>G23</v>
      </c>
      <c r="U74" s="4" t="str">
        <f t="shared" si="22"/>
        <v>H23</v>
      </c>
      <c r="V74" s="4" t="str">
        <f t="shared" si="23"/>
        <v>I23</v>
      </c>
      <c r="W74" s="4" t="str">
        <f t="shared" si="24"/>
        <v>J23</v>
      </c>
      <c r="X74" s="4" t="str">
        <f t="shared" si="25"/>
        <v>K23</v>
      </c>
      <c r="Y74" s="4" t="str">
        <f t="shared" si="26"/>
        <v>L23</v>
      </c>
      <c r="AA74" s="236"/>
      <c r="AB74" s="238"/>
      <c r="AC74" s="238"/>
      <c r="AD74" s="86" t="str" cm="1">
        <f t="array" aca="1" ref="AD74" ca="1">IFERROR(_xlfn.XLOOKUP(INDIRECT(R74),TeamList[מס"ד],TeamList[ישוב]),"")</f>
        <v/>
      </c>
      <c r="AE74" s="86" t="str" cm="1">
        <f t="array" aca="1" ref="AE74" ca="1">IFERROR(_xlfn.XLOOKUP(INDIRECT(S74),TeamList[מס"ד],TeamList[ישוב]),"")</f>
        <v/>
      </c>
      <c r="AF74" s="86" t="str" cm="1">
        <f t="array" aca="1" ref="AF74" ca="1">IFERROR(_xlfn.XLOOKUP(INDIRECT(T74),TeamList[מס"ד],TeamList[ישוב]),"")</f>
        <v/>
      </c>
      <c r="AG74" s="86" t="str" cm="1">
        <f t="array" aca="1" ref="AG74" ca="1">IFERROR(_xlfn.XLOOKUP(INDIRECT(U74),TeamList[מס"ד],TeamList[ישוב]),"")</f>
        <v/>
      </c>
      <c r="AH74" s="86" t="str" cm="1">
        <f t="array" aca="1" ref="AH74" ca="1">IFERROR(_xlfn.XLOOKUP(INDIRECT(V74),TeamList[מס"ד],TeamList[ישוב]),"")</f>
        <v>ירושלים</v>
      </c>
      <c r="AI74" s="86" t="str" cm="1">
        <f t="array" aca="1" ref="AI74" ca="1">IFERROR(_xlfn.XLOOKUP(INDIRECT(W74),TeamList[מס"ד],TeamList[ישוב]),"")</f>
        <v>ירושלים</v>
      </c>
      <c r="AJ74" s="86" t="str" cm="1">
        <f t="array" aca="1" ref="AJ74" ca="1">IFERROR(_xlfn.XLOOKUP(INDIRECT(X74),TeamList[מס"ד],TeamList[ישוב]),"")</f>
        <v>בנימינה-גבעת עדה</v>
      </c>
      <c r="AK74" s="87" t="str" cm="1">
        <f t="array" aca="1" ref="AK74" ca="1">IFERROR(_xlfn.XLOOKUP(INDIRECT(Y74),TeamList[מס"ד],TeamList[ישוב]),"")</f>
        <v>עראבה</v>
      </c>
    </row>
    <row r="75" spans="2:37" s="4" customFormat="1" ht="13.9" customHeight="1" x14ac:dyDescent="0.65">
      <c r="B75" s="2"/>
      <c r="C75" s="5"/>
      <c r="D75" s="5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5"/>
      <c r="Q75" s="4">
        <v>12</v>
      </c>
      <c r="R75" s="4" t="str">
        <f t="shared" si="19"/>
        <v>E24</v>
      </c>
      <c r="S75" s="4" t="str">
        <f t="shared" si="20"/>
        <v>F24</v>
      </c>
      <c r="T75" s="4" t="str">
        <f t="shared" si="21"/>
        <v>G24</v>
      </c>
      <c r="U75" s="4" t="str">
        <f t="shared" si="22"/>
        <v>H24</v>
      </c>
      <c r="V75" s="4" t="str">
        <f t="shared" si="23"/>
        <v>I24</v>
      </c>
      <c r="W75" s="4" t="str">
        <f t="shared" si="24"/>
        <v>J24</v>
      </c>
      <c r="X75" s="4" t="str">
        <f t="shared" si="25"/>
        <v>K24</v>
      </c>
      <c r="Y75" s="4" t="str">
        <f t="shared" si="26"/>
        <v>L24</v>
      </c>
      <c r="AA75" s="231">
        <f>AA73+1</f>
        <v>31</v>
      </c>
      <c r="AB75" s="233">
        <f>AB73+ORM</f>
        <v>0.5347222222222221</v>
      </c>
      <c r="AC75" s="233">
        <f>AB75+TIME(0,3,0)</f>
        <v>0.53680555555555542</v>
      </c>
      <c r="AD75" s="23" t="str" cm="1">
        <f t="array" aca="1" ref="AD75" ca="1">IFERROR(CONCATENATE(_xlfn.XLOOKUP(INDIRECT(R75),TeamList[מס"ד],TeamList[מס'' הקבוצה])," ",_xlfn.XLOOKUP(INDIRECT(R75),TeamList[מס"ד],TeamList[שם הקבוצה])),"")</f>
        <v xml:space="preserve">3006 כוכב </v>
      </c>
      <c r="AE75" s="23" t="str" cm="1">
        <f t="array" aca="1" ref="AE75" ca="1">IFERROR(CONCATENATE(_xlfn.XLOOKUP(INDIRECT(S75),TeamList[מס"ד],TeamList[מס'' הקבוצה])," ",_xlfn.XLOOKUP(INDIRECT(S75),TeamList[מס"ד],TeamList[שם הקבוצה])),"")</f>
        <v>3184 תיכון דרך</v>
      </c>
      <c r="AF75" s="23" t="str" cm="1">
        <f t="array" aca="1" ref="AF75" ca="1">IFERROR(CONCATENATE(_xlfn.XLOOKUP(INDIRECT(T75),TeamList[מס"ד],TeamList[מס'' הקבוצה])," ",_xlfn.XLOOKUP(INDIRECT(T75),TeamList[מס"ד],TeamList[שם הקבוצה])),"")</f>
        <v xml:space="preserve">3128 נרייה </v>
      </c>
      <c r="AG75" s="23" t="str" cm="1">
        <f t="array" aca="1" ref="AG75" ca="1">IFERROR(CONCATENATE(_xlfn.XLOOKUP(INDIRECT(U75),TeamList[מס"ד],TeamList[מס'' הקבוצה])," ",_xlfn.XLOOKUP(INDIRECT(U75),TeamList[מס"ד],TeamList[שם הקבוצה])),"")</f>
        <v>1214 אל זהראא ב</v>
      </c>
      <c r="AH75" s="23" t="str" cm="1">
        <f t="array" aca="1" ref="AH75" ca="1">IFERROR(CONCATENATE(_xlfn.XLOOKUP(INDIRECT(V75),TeamList[מס"ד],TeamList[מס'' הקבוצה])," ",_xlfn.XLOOKUP(INDIRECT(V75),TeamList[מס"ד],TeamList[שם הקבוצה])),"")</f>
        <v/>
      </c>
      <c r="AI75" s="23" t="str" cm="1">
        <f t="array" aca="1" ref="AI75" ca="1">IFERROR(CONCATENATE(_xlfn.XLOOKUP(INDIRECT(W75),TeamList[מס"ד],TeamList[מס'' הקבוצה])," ",_xlfn.XLOOKUP(INDIRECT(W75),TeamList[מס"ד],TeamList[שם הקבוצה])),"")</f>
        <v/>
      </c>
      <c r="AJ75" s="23" t="str" cm="1">
        <f t="array" aca="1" ref="AJ75" ca="1">IFERROR(CONCATENATE(_xlfn.XLOOKUP(INDIRECT(X75),TeamList[מס"ד],TeamList[מס'' הקבוצה])," ",_xlfn.XLOOKUP(INDIRECT(X75),TeamList[מס"ד],TeamList[שם הקבוצה])),"")</f>
        <v/>
      </c>
      <c r="AK75" s="73" t="str" cm="1">
        <f t="array" aca="1" ref="AK75" ca="1">IFERROR(CONCATENATE(_xlfn.XLOOKUP(INDIRECT(Y75),TeamList[מס"ד],TeamList[מס'' הקבוצה])," ",_xlfn.XLOOKUP(INDIRECT(Y75),TeamList[מס"ד],TeamList[שם הקבוצה])),"")</f>
        <v/>
      </c>
    </row>
    <row r="76" spans="2:37" s="4" customFormat="1" ht="13.9" customHeight="1" thickBot="1" x14ac:dyDescent="0.8">
      <c r="B76" s="2"/>
      <c r="C76" s="5"/>
      <c r="D76" s="5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5"/>
      <c r="Q76" s="4">
        <v>13</v>
      </c>
      <c r="R76" s="4" t="str">
        <f t="shared" si="19"/>
        <v>E24</v>
      </c>
      <c r="S76" s="4" t="str">
        <f t="shared" si="20"/>
        <v>F24</v>
      </c>
      <c r="T76" s="4" t="str">
        <f t="shared" si="21"/>
        <v>G24</v>
      </c>
      <c r="U76" s="4" t="str">
        <f t="shared" si="22"/>
        <v>H24</v>
      </c>
      <c r="V76" s="4" t="str">
        <f t="shared" si="23"/>
        <v>I24</v>
      </c>
      <c r="W76" s="4" t="str">
        <f t="shared" si="24"/>
        <v>J24</v>
      </c>
      <c r="X76" s="4" t="str">
        <f t="shared" si="25"/>
        <v>K24</v>
      </c>
      <c r="Y76" s="4" t="str">
        <f t="shared" si="26"/>
        <v>L24</v>
      </c>
      <c r="AA76" s="232"/>
      <c r="AB76" s="234"/>
      <c r="AC76" s="234"/>
      <c r="AD76" s="84" t="str" cm="1">
        <f t="array" aca="1" ref="AD76" ca="1">IFERROR(_xlfn.XLOOKUP(INDIRECT(R76),TeamList[מס"ד],TeamList[ישוב]),"")</f>
        <v>כאוכב אבו אל-היג'א</v>
      </c>
      <c r="AE76" s="84" t="str" cm="1">
        <f t="array" aca="1" ref="AE76" ca="1">IFERROR(_xlfn.XLOOKUP(INDIRECT(S76),TeamList[מס"ד],TeamList[ישוב]),"")</f>
        <v>ירושלים</v>
      </c>
      <c r="AF76" s="84" t="str" cm="1">
        <f t="array" aca="1" ref="AF76" ca="1">IFERROR(_xlfn.XLOOKUP(INDIRECT(T76),TeamList[מס"ד],TeamList[ישוב]),"")</f>
        <v>בית הגדי</v>
      </c>
      <c r="AG76" s="84" t="str" cm="1">
        <f t="array" aca="1" ref="AG76" ca="1">IFERROR(_xlfn.XLOOKUP(INDIRECT(U76),TeamList[מס"ד],TeamList[ישוב]),"")</f>
        <v>נצרת</v>
      </c>
      <c r="AH76" s="84" t="str" cm="1">
        <f t="array" aca="1" ref="AH76" ca="1">IFERROR(_xlfn.XLOOKUP(INDIRECT(V76),TeamList[מס"ד],TeamList[ישוב]),"")</f>
        <v/>
      </c>
      <c r="AI76" s="84" t="str" cm="1">
        <f t="array" aca="1" ref="AI76" ca="1">IFERROR(_xlfn.XLOOKUP(INDIRECT(W76),TeamList[מס"ד],TeamList[ישוב]),"")</f>
        <v/>
      </c>
      <c r="AJ76" s="84" t="str" cm="1">
        <f t="array" aca="1" ref="AJ76" ca="1">IFERROR(_xlfn.XLOOKUP(INDIRECT(X76),TeamList[מס"ד],TeamList[ישוב]),"")</f>
        <v/>
      </c>
      <c r="AK76" s="85" t="str" cm="1">
        <f t="array" aca="1" ref="AK76" ca="1">IFERROR(_xlfn.XLOOKUP(INDIRECT(Y76),TeamList[מס"ד],TeamList[ישוב]),"")</f>
        <v/>
      </c>
    </row>
    <row r="77" spans="2:37" s="4" customFormat="1" ht="13.9" customHeight="1" x14ac:dyDescent="0.65">
      <c r="B77" s="2"/>
      <c r="C77" s="5"/>
      <c r="D77" s="5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5"/>
      <c r="Q77" s="4">
        <v>14</v>
      </c>
      <c r="R77" s="4" t="str">
        <f t="shared" si="19"/>
        <v>E25</v>
      </c>
      <c r="S77" s="4" t="str">
        <f t="shared" si="20"/>
        <v>F25</v>
      </c>
      <c r="T77" s="4" t="str">
        <f t="shared" si="21"/>
        <v>G25</v>
      </c>
      <c r="U77" s="4" t="str">
        <f t="shared" si="22"/>
        <v>H25</v>
      </c>
      <c r="V77" s="4" t="str">
        <f t="shared" si="23"/>
        <v>I25</v>
      </c>
      <c r="W77" s="4" t="str">
        <f t="shared" si="24"/>
        <v>J25</v>
      </c>
      <c r="X77" s="4" t="str">
        <f t="shared" si="25"/>
        <v>K25</v>
      </c>
      <c r="Y77" s="4" t="str">
        <f t="shared" si="26"/>
        <v>L25</v>
      </c>
      <c r="AA77" s="235">
        <f>AA75+1</f>
        <v>32</v>
      </c>
      <c r="AB77" s="237">
        <f>AB75+ORM</f>
        <v>0.53819444444444431</v>
      </c>
      <c r="AC77" s="237">
        <f>AB77+TIME(0,3,0)</f>
        <v>0.54027777777777763</v>
      </c>
      <c r="AD77" s="24" t="str" cm="1">
        <f t="array" aca="1" ref="AD77" ca="1">IFERROR(CONCATENATE(_xlfn.XLOOKUP(INDIRECT(R77),TeamList[מס"ד],TeamList[מס'' הקבוצה])," ",_xlfn.XLOOKUP(INDIRECT(R77),TeamList[מס"ד],TeamList[שם הקבוצה])),"")</f>
        <v/>
      </c>
      <c r="AE77" s="24" t="str" cm="1">
        <f t="array" aca="1" ref="AE77" ca="1">IFERROR(CONCATENATE(_xlfn.XLOOKUP(INDIRECT(S77),TeamList[מס"ד],TeamList[מס'' הקבוצה])," ",_xlfn.XLOOKUP(INDIRECT(S77),TeamList[מס"ד],TeamList[שם הקבוצה])),"")</f>
        <v/>
      </c>
      <c r="AF77" s="24" t="str" cm="1">
        <f t="array" aca="1" ref="AF77" ca="1">IFERROR(CONCATENATE(_xlfn.XLOOKUP(INDIRECT(T77),TeamList[מס"ד],TeamList[מס'' הקבוצה])," ",_xlfn.XLOOKUP(INDIRECT(T77),TeamList[מס"ד],TeamList[שם הקבוצה])),"")</f>
        <v/>
      </c>
      <c r="AG77" s="24" t="str" cm="1">
        <f t="array" aca="1" ref="AG77" ca="1">IFERROR(CONCATENATE(_xlfn.XLOOKUP(INDIRECT(U77),TeamList[מס"ד],TeamList[מס'' הקבוצה])," ",_xlfn.XLOOKUP(INDIRECT(U77),TeamList[מס"ד],TeamList[שם הקבוצה])),"")</f>
        <v/>
      </c>
      <c r="AH77" s="24" t="str" cm="1">
        <f t="array" aca="1" ref="AH77" ca="1">IFERROR(CONCATENATE(_xlfn.XLOOKUP(INDIRECT(V77),TeamList[מס"ד],TeamList[מס'' הקבוצה])," ",_xlfn.XLOOKUP(INDIRECT(V77),TeamList[מס"ד],TeamList[שם הקבוצה])),"")</f>
        <v xml:space="preserve">2130 צודות </v>
      </c>
      <c r="AI77" s="24" t="str" cm="1">
        <f t="array" aca="1" ref="AI77" ca="1">IFERROR(CONCATENATE(_xlfn.XLOOKUP(INDIRECT(W77),TeamList[מס"ד],TeamList[מס'' הקבוצה])," ",_xlfn.XLOOKUP(INDIRECT(W77),TeamList[מס"ד],TeamList[שם הקבוצה])),"")</f>
        <v xml:space="preserve">2748 מקיף כוכב </v>
      </c>
      <c r="AJ77" s="24" t="str" cm="1">
        <f t="array" aca="1" ref="AJ77" ca="1">IFERROR(CONCATENATE(_xlfn.XLOOKUP(INDIRECT(X77),TeamList[מס"ד],TeamList[מס'' הקבוצה])," ",_xlfn.XLOOKUP(INDIRECT(X77),TeamList[מס"ד],TeamList[שם הקבוצה])),"")</f>
        <v>1099 אפרתה</v>
      </c>
      <c r="AK77" s="218" t="str" cm="1">
        <f t="array" aca="1" ref="AK77" ca="1">IFERROR(CONCATENATE(_xlfn.XLOOKUP(INDIRECT(Y77),TeamList[מס"ד],TeamList[מס'' הקבוצה])," ",_xlfn.XLOOKUP(INDIRECT(Y77),TeamList[מס"ד],TeamList[שם הקבוצה])),"")</f>
        <v xml:space="preserve">1300 מרכז מחוננים </v>
      </c>
    </row>
    <row r="78" spans="2:37" s="4" customFormat="1" ht="13.9" customHeight="1" thickBot="1" x14ac:dyDescent="0.8">
      <c r="B78" s="2"/>
      <c r="C78" s="5"/>
      <c r="D78" s="5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5"/>
      <c r="Q78" s="4">
        <v>15</v>
      </c>
      <c r="R78" s="4" t="str">
        <f t="shared" si="19"/>
        <v>E25</v>
      </c>
      <c r="S78" s="4" t="str">
        <f t="shared" si="20"/>
        <v>F25</v>
      </c>
      <c r="T78" s="4" t="str">
        <f t="shared" si="21"/>
        <v>G25</v>
      </c>
      <c r="U78" s="4" t="str">
        <f t="shared" si="22"/>
        <v>H25</v>
      </c>
      <c r="V78" s="4" t="str">
        <f t="shared" si="23"/>
        <v>I25</v>
      </c>
      <c r="W78" s="4" t="str">
        <f t="shared" si="24"/>
        <v>J25</v>
      </c>
      <c r="X78" s="4" t="str">
        <f t="shared" si="25"/>
        <v>K25</v>
      </c>
      <c r="Y78" s="4" t="str">
        <f t="shared" si="26"/>
        <v>L25</v>
      </c>
      <c r="AA78" s="236"/>
      <c r="AB78" s="238"/>
      <c r="AC78" s="238"/>
      <c r="AD78" s="86" t="str" cm="1">
        <f t="array" aca="1" ref="AD78" ca="1">IFERROR(_xlfn.XLOOKUP(INDIRECT(R78),TeamList[מס"ד],TeamList[ישוב]),"")</f>
        <v/>
      </c>
      <c r="AE78" s="86" t="str" cm="1">
        <f t="array" aca="1" ref="AE78" ca="1">IFERROR(_xlfn.XLOOKUP(INDIRECT(S78),TeamList[מס"ד],TeamList[ישוב]),"")</f>
        <v/>
      </c>
      <c r="AF78" s="86" t="str" cm="1">
        <f t="array" aca="1" ref="AF78" ca="1">IFERROR(_xlfn.XLOOKUP(INDIRECT(T78),TeamList[מס"ד],TeamList[ישוב]),"")</f>
        <v/>
      </c>
      <c r="AG78" s="86" t="str" cm="1">
        <f t="array" aca="1" ref="AG78" ca="1">IFERROR(_xlfn.XLOOKUP(INDIRECT(U78),TeamList[מס"ד],TeamList[ישוב]),"")</f>
        <v/>
      </c>
      <c r="AH78" s="86" t="str" cm="1">
        <f t="array" aca="1" ref="AH78" ca="1">IFERROR(_xlfn.XLOOKUP(INDIRECT(V78),TeamList[מס"ד],TeamList[ישוב]),"")</f>
        <v>קרית שמונה</v>
      </c>
      <c r="AI78" s="86" t="str" cm="1">
        <f t="array" aca="1" ref="AI78" ca="1">IFERROR(_xlfn.XLOOKUP(INDIRECT(W78),TeamList[מס"ד],TeamList[ישוב]),"")</f>
        <v>כאוכב אבו אל-היג'א</v>
      </c>
      <c r="AJ78" s="86" t="str" cm="1">
        <f t="array" aca="1" ref="AJ78" ca="1">IFERROR(_xlfn.XLOOKUP(INDIRECT(X78),TeamList[מס"ד],TeamList[ישוב]),"")</f>
        <v>ירושלים</v>
      </c>
      <c r="AK78" s="87" t="str" cm="1">
        <f t="array" aca="1" ref="AK78" ca="1">IFERROR(_xlfn.XLOOKUP(INDIRECT(Y78),TeamList[מס"ד],TeamList[ישוב]),"")</f>
        <v>עראבה</v>
      </c>
    </row>
    <row r="79" spans="2:37" s="4" customFormat="1" ht="13.9" customHeight="1" x14ac:dyDescent="0.65">
      <c r="B79" s="2"/>
      <c r="C79" s="5"/>
      <c r="D79" s="5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5"/>
      <c r="Q79" s="4">
        <v>16</v>
      </c>
      <c r="R79" s="4" t="str">
        <f t="shared" si="19"/>
        <v>E26</v>
      </c>
      <c r="S79" s="4" t="str">
        <f t="shared" si="20"/>
        <v>F26</v>
      </c>
      <c r="T79" s="4" t="str">
        <f t="shared" si="21"/>
        <v>G26</v>
      </c>
      <c r="U79" s="4" t="str">
        <f t="shared" si="22"/>
        <v>H26</v>
      </c>
      <c r="V79" s="4" t="str">
        <f t="shared" si="23"/>
        <v>I26</v>
      </c>
      <c r="W79" s="4" t="str">
        <f t="shared" si="24"/>
        <v>J26</v>
      </c>
      <c r="X79" s="4" t="str">
        <f t="shared" si="25"/>
        <v>K26</v>
      </c>
      <c r="Y79" s="4" t="str">
        <f t="shared" si="26"/>
        <v>L26</v>
      </c>
      <c r="AA79" s="231">
        <f>AA77+1</f>
        <v>33</v>
      </c>
      <c r="AB79" s="233">
        <f>AB77+ORM</f>
        <v>0.54166666666666652</v>
      </c>
      <c r="AC79" s="233">
        <f>AB79+TIME(0,3,0)</f>
        <v>0.54374999999999984</v>
      </c>
      <c r="AD79" s="23" t="str" cm="1">
        <f t="array" aca="1" ref="AD79" ca="1">IFERROR(CONCATENATE(_xlfn.XLOOKUP(INDIRECT(R79),TeamList[מס"ד],TeamList[מס'' הקבוצה])," ",_xlfn.XLOOKUP(INDIRECT(R79),TeamList[מס"ד],TeamList[שם הקבוצה])),"")</f>
        <v xml:space="preserve">2843 בארי </v>
      </c>
      <c r="AE79" s="23" t="str" cm="1">
        <f t="array" aca="1" ref="AE79" ca="1">IFERROR(CONCATENATE(_xlfn.XLOOKUP(INDIRECT(S79),TeamList[מס"ד],TeamList[מס'' הקבוצה])," ",_xlfn.XLOOKUP(INDIRECT(S79),TeamList[מס"ד],TeamList[שם הקבוצה])),"")</f>
        <v>1332 אפרתה</v>
      </c>
      <c r="AF79" s="23" t="str" cm="1">
        <f t="array" aca="1" ref="AF79" ca="1">IFERROR(CONCATENATE(_xlfn.XLOOKUP(INDIRECT(T79),TeamList[מס"ד],TeamList[מס'' הקבוצה])," ",_xlfn.XLOOKUP(INDIRECT(T79),TeamList[מס"ד],TeamList[שם הקבוצה])),"")</f>
        <v>3294 שלנו</v>
      </c>
      <c r="AG79" s="23" t="str" cm="1">
        <f t="array" aca="1" ref="AG79" ca="1">IFERROR(CONCATENATE(_xlfn.XLOOKUP(INDIRECT(U79),TeamList[מס"ד],TeamList[מס'' הקבוצה])," ",_xlfn.XLOOKUP(INDIRECT(U79),TeamList[מס"ד],TeamList[שם הקבוצה])),"")</f>
        <v xml:space="preserve">3340 עמי אסף </v>
      </c>
      <c r="AH79" s="23" t="str" cm="1">
        <f t="array" aca="1" ref="AH79" ca="1">IFERROR(CONCATENATE(_xlfn.XLOOKUP(INDIRECT(V79),TeamList[מס"ד],TeamList[מס'' הקבוצה])," ",_xlfn.XLOOKUP(INDIRECT(V79),TeamList[מס"ד],TeamList[שם הקבוצה])),"")</f>
        <v/>
      </c>
      <c r="AI79" s="23" t="str" cm="1">
        <f t="array" aca="1" ref="AI79" ca="1">IFERROR(CONCATENATE(_xlfn.XLOOKUP(INDIRECT(W79),TeamList[מס"ד],TeamList[מס'' הקבוצה])," ",_xlfn.XLOOKUP(INDIRECT(W79),TeamList[מס"ד],TeamList[שם הקבוצה])),"")</f>
        <v/>
      </c>
      <c r="AJ79" s="23" t="str" cm="1">
        <f t="array" aca="1" ref="AJ79" ca="1">IFERROR(CONCATENATE(_xlfn.XLOOKUP(INDIRECT(X79),TeamList[מס"ד],TeamList[מס'' הקבוצה])," ",_xlfn.XLOOKUP(INDIRECT(X79),TeamList[מס"ד],TeamList[שם הקבוצה])),"")</f>
        <v/>
      </c>
      <c r="AK79" s="73" t="str" cm="1">
        <f t="array" aca="1" ref="AK79" ca="1">IFERROR(CONCATENATE(_xlfn.XLOOKUP(INDIRECT(Y79),TeamList[מס"ד],TeamList[מס'' הקבוצה])," ",_xlfn.XLOOKUP(INDIRECT(Y79),TeamList[מס"ד],TeamList[שם הקבוצה])),"")</f>
        <v/>
      </c>
    </row>
    <row r="80" spans="2:37" s="4" customFormat="1" ht="13.9" customHeight="1" thickBot="1" x14ac:dyDescent="0.8">
      <c r="B80" s="2"/>
      <c r="C80" s="5"/>
      <c r="D80" s="5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5"/>
      <c r="Q80" s="4">
        <v>17</v>
      </c>
      <c r="R80" s="4" t="str">
        <f t="shared" si="19"/>
        <v>E26</v>
      </c>
      <c r="S80" s="4" t="str">
        <f t="shared" si="20"/>
        <v>F26</v>
      </c>
      <c r="T80" s="4" t="str">
        <f t="shared" si="21"/>
        <v>G26</v>
      </c>
      <c r="U80" s="4" t="str">
        <f t="shared" si="22"/>
        <v>H26</v>
      </c>
      <c r="V80" s="4" t="str">
        <f t="shared" si="23"/>
        <v>I26</v>
      </c>
      <c r="W80" s="4" t="str">
        <f t="shared" si="24"/>
        <v>J26</v>
      </c>
      <c r="X80" s="4" t="str">
        <f t="shared" si="25"/>
        <v>K26</v>
      </c>
      <c r="Y80" s="4" t="str">
        <f t="shared" si="26"/>
        <v>L26</v>
      </c>
      <c r="AA80" s="232"/>
      <c r="AB80" s="234"/>
      <c r="AC80" s="234"/>
      <c r="AD80" s="84" t="str" cm="1">
        <f t="array" aca="1" ref="AD80" ca="1">IFERROR(_xlfn.XLOOKUP(INDIRECT(R80),TeamList[מס"ד],TeamList[ישוב]),"")</f>
        <v>חיפה</v>
      </c>
      <c r="AE80" s="84" t="str" cm="1">
        <f t="array" aca="1" ref="AE80" ca="1">IFERROR(_xlfn.XLOOKUP(INDIRECT(S80),TeamList[מס"ד],TeamList[ישוב]),"")</f>
        <v>ירושלים</v>
      </c>
      <c r="AF80" s="84" t="str" cm="1">
        <f t="array" aca="1" ref="AF80" ca="1">IFERROR(_xlfn.XLOOKUP(INDIRECT(T80),TeamList[מס"ד],TeamList[ישוב]),"")</f>
        <v>תל מונד</v>
      </c>
      <c r="AG80" s="84" t="str" cm="1">
        <f t="array" aca="1" ref="AG80" ca="1">IFERROR(_xlfn.XLOOKUP(INDIRECT(U80),TeamList[מס"ד],TeamList[ישוב]),"")</f>
        <v>דימונה</v>
      </c>
      <c r="AH80" s="84" t="str" cm="1">
        <f t="array" aca="1" ref="AH80" ca="1">IFERROR(_xlfn.XLOOKUP(INDIRECT(V80),TeamList[מס"ד],TeamList[ישוב]),"")</f>
        <v/>
      </c>
      <c r="AI80" s="84" t="str" cm="1">
        <f t="array" aca="1" ref="AI80" ca="1">IFERROR(_xlfn.XLOOKUP(INDIRECT(W80),TeamList[מס"ד],TeamList[ישוב]),"")</f>
        <v/>
      </c>
      <c r="AJ80" s="84" t="str" cm="1">
        <f t="array" aca="1" ref="AJ80" ca="1">IFERROR(_xlfn.XLOOKUP(INDIRECT(X80),TeamList[מס"ד],TeamList[ישוב]),"")</f>
        <v/>
      </c>
      <c r="AK80" s="85" t="str" cm="1">
        <f t="array" aca="1" ref="AK80" ca="1">IFERROR(_xlfn.XLOOKUP(INDIRECT(Y80),TeamList[מס"ד],TeamList[ישוב]),"")</f>
        <v/>
      </c>
    </row>
    <row r="81" spans="2:37" s="4" customFormat="1" ht="13.9" customHeight="1" x14ac:dyDescent="0.65">
      <c r="B81" s="2"/>
      <c r="C81" s="5"/>
      <c r="D81" s="5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5"/>
      <c r="Q81" s="4">
        <v>18</v>
      </c>
      <c r="R81" s="4" t="str">
        <f t="shared" si="19"/>
        <v>E27</v>
      </c>
      <c r="S81" s="4" t="str">
        <f t="shared" si="20"/>
        <v>F27</v>
      </c>
      <c r="T81" s="4" t="str">
        <f t="shared" si="21"/>
        <v>G27</v>
      </c>
      <c r="U81" s="4" t="str">
        <f t="shared" si="22"/>
        <v>H27</v>
      </c>
      <c r="V81" s="4" t="str">
        <f t="shared" si="23"/>
        <v>I27</v>
      </c>
      <c r="W81" s="4" t="str">
        <f t="shared" si="24"/>
        <v>J27</v>
      </c>
      <c r="X81" s="4" t="str">
        <f t="shared" si="25"/>
        <v>K27</v>
      </c>
      <c r="Y81" s="4" t="str">
        <f t="shared" si="26"/>
        <v>L27</v>
      </c>
      <c r="AA81" s="235">
        <f>AA79+1</f>
        <v>34</v>
      </c>
      <c r="AB81" s="237">
        <f>AB79+ORM</f>
        <v>0.54513888888888873</v>
      </c>
      <c r="AC81" s="237">
        <f>AB81+TIME(0,3,0)</f>
        <v>0.54722222222222205</v>
      </c>
      <c r="AD81" s="24" t="str" cm="1">
        <f t="array" aca="1" ref="AD81" ca="1">IFERROR(CONCATENATE(_xlfn.XLOOKUP(INDIRECT(R81),TeamList[מס"ד],TeamList[מס'' הקבוצה])," ",_xlfn.XLOOKUP(INDIRECT(R81),TeamList[מס"ד],TeamList[שם הקבוצה])),"")</f>
        <v/>
      </c>
      <c r="AE81" s="24" t="str" cm="1">
        <f t="array" aca="1" ref="AE81" ca="1">IFERROR(CONCATENATE(_xlfn.XLOOKUP(INDIRECT(S81),TeamList[מס"ד],TeamList[מס'' הקבוצה])," ",_xlfn.XLOOKUP(INDIRECT(S81),TeamList[מס"ד],TeamList[שם הקבוצה])),"")</f>
        <v/>
      </c>
      <c r="AF81" s="24" t="str" cm="1">
        <f t="array" aca="1" ref="AF81" ca="1">IFERROR(CONCATENATE(_xlfn.XLOOKUP(INDIRECT(T81),TeamList[מס"ד],TeamList[מס'' הקבוצה])," ",_xlfn.XLOOKUP(INDIRECT(T81),TeamList[מס"ד],TeamList[שם הקבוצה])),"")</f>
        <v/>
      </c>
      <c r="AG81" s="24" t="str" cm="1">
        <f t="array" aca="1" ref="AG81" ca="1">IFERROR(CONCATENATE(_xlfn.XLOOKUP(INDIRECT(U81),TeamList[מס"ד],TeamList[מס'' הקבוצה])," ",_xlfn.XLOOKUP(INDIRECT(U81),TeamList[מס"ד],TeamList[שם הקבוצה])),"")</f>
        <v/>
      </c>
      <c r="AH81" s="24" t="str" cm="1">
        <f t="array" aca="1" ref="AH81" ca="1">IFERROR(CONCATENATE(_xlfn.XLOOKUP(INDIRECT(V81),TeamList[מס"ד],TeamList[מס'' הקבוצה])," ",_xlfn.XLOOKUP(INDIRECT(V81),TeamList[מס"ד],TeamList[שם הקבוצה])),"")</f>
        <v>2622 גינסבורג</v>
      </c>
      <c r="AI81" s="24" t="str" cm="1">
        <f t="array" aca="1" ref="AI81" ca="1">IFERROR(CONCATENATE(_xlfn.XLOOKUP(INDIRECT(W81),TeamList[מס"ד],TeamList[מס'' הקבוצה])," ",_xlfn.XLOOKUP(INDIRECT(W81),TeamList[מס"ד],TeamList[שם הקבוצה])),"")</f>
        <v xml:space="preserve">1301 מרכז מחוננים </v>
      </c>
      <c r="AJ81" s="24" t="str" cm="1">
        <f t="array" aca="1" ref="AJ81" ca="1">IFERROR(CONCATENATE(_xlfn.XLOOKUP(INDIRECT(X81),TeamList[מס"ד],TeamList[מס'' הקבוצה])," ",_xlfn.XLOOKUP(INDIRECT(X81),TeamList[מס"ד],TeamList[שם הקבוצה])),"")</f>
        <v xml:space="preserve">1697 לאורו נלך </v>
      </c>
      <c r="AK81" s="218" t="str" cm="1">
        <f t="array" aca="1" ref="AK81" ca="1">IFERROR(CONCATENATE(_xlfn.XLOOKUP(INDIRECT(Y81),TeamList[מס"ד],TeamList[מס'' הקבוצה])," ",_xlfn.XLOOKUP(INDIRECT(Y81),TeamList[מס"ד],TeamList[שם הקבוצה])),"")</f>
        <v>2840 נצח ישראל</v>
      </c>
    </row>
    <row r="82" spans="2:37" s="4" customFormat="1" ht="13.9" customHeight="1" thickBot="1" x14ac:dyDescent="0.8">
      <c r="B82" s="2"/>
      <c r="C82" s="5"/>
      <c r="D82" s="5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5"/>
      <c r="Q82" s="4">
        <v>19</v>
      </c>
      <c r="R82" s="4" t="str">
        <f t="shared" si="19"/>
        <v>E27</v>
      </c>
      <c r="S82" s="4" t="str">
        <f t="shared" si="20"/>
        <v>F27</v>
      </c>
      <c r="T82" s="4" t="str">
        <f t="shared" si="21"/>
        <v>G27</v>
      </c>
      <c r="U82" s="4" t="str">
        <f t="shared" si="22"/>
        <v>H27</v>
      </c>
      <c r="V82" s="4" t="str">
        <f t="shared" si="23"/>
        <v>I27</v>
      </c>
      <c r="W82" s="4" t="str">
        <f t="shared" si="24"/>
        <v>J27</v>
      </c>
      <c r="X82" s="4" t="str">
        <f t="shared" si="25"/>
        <v>K27</v>
      </c>
      <c r="Y82" s="4" t="str">
        <f t="shared" si="26"/>
        <v>L27</v>
      </c>
      <c r="AA82" s="236"/>
      <c r="AB82" s="238"/>
      <c r="AC82" s="238"/>
      <c r="AD82" s="86" t="str" cm="1">
        <f t="array" aca="1" ref="AD82" ca="1">IFERROR(_xlfn.XLOOKUP(INDIRECT(R82),TeamList[מס"ד],TeamList[ישוב]),"")</f>
        <v/>
      </c>
      <c r="AE82" s="86" t="str" cm="1">
        <f t="array" aca="1" ref="AE82" ca="1">IFERROR(_xlfn.XLOOKUP(INDIRECT(S82),TeamList[מס"ד],TeamList[ישוב]),"")</f>
        <v/>
      </c>
      <c r="AF82" s="86" t="str" cm="1">
        <f t="array" aca="1" ref="AF82" ca="1">IFERROR(_xlfn.XLOOKUP(INDIRECT(T82),TeamList[מס"ד],TeamList[ישוב]),"")</f>
        <v/>
      </c>
      <c r="AG82" s="86" t="str" cm="1">
        <f t="array" aca="1" ref="AG82" ca="1">IFERROR(_xlfn.XLOOKUP(INDIRECT(U82),TeamList[מס"ד],TeamList[ישוב]),"")</f>
        <v/>
      </c>
      <c r="AH82" s="86" t="str" cm="1">
        <f t="array" aca="1" ref="AH82" ca="1">IFERROR(_xlfn.XLOOKUP(INDIRECT(V82),TeamList[מס"ד],TeamList[ישוב]),"")</f>
        <v>יבנה</v>
      </c>
      <c r="AI82" s="86" t="str" cm="1">
        <f t="array" aca="1" ref="AI82" ca="1">IFERROR(_xlfn.XLOOKUP(INDIRECT(W82),TeamList[מס"ד],TeamList[ישוב]),"")</f>
        <v>עראבה</v>
      </c>
      <c r="AJ82" s="86" t="str" cm="1">
        <f t="array" aca="1" ref="AJ82" ca="1">IFERROR(_xlfn.XLOOKUP(INDIRECT(X82),TeamList[מס"ד],TeamList[ישוב]),"")</f>
        <v>בני ברק</v>
      </c>
      <c r="AK82" s="87" t="str" cm="1">
        <f t="array" aca="1" ref="AK82" ca="1">IFERROR(_xlfn.XLOOKUP(INDIRECT(Y82),TeamList[מס"ד],TeamList[ישוב]),"")</f>
        <v>בית שמש</v>
      </c>
    </row>
    <row r="83" spans="2:37" s="4" customFormat="1" ht="13.9" customHeight="1" x14ac:dyDescent="0.65">
      <c r="B83" s="2"/>
      <c r="C83" s="5"/>
      <c r="D83" s="5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5"/>
      <c r="Q83" s="4">
        <v>20</v>
      </c>
      <c r="R83" s="4" t="str">
        <f t="shared" si="19"/>
        <v>E28</v>
      </c>
      <c r="S83" s="4" t="str">
        <f t="shared" si="20"/>
        <v>F28</v>
      </c>
      <c r="T83" s="4" t="str">
        <f t="shared" si="21"/>
        <v>G28</v>
      </c>
      <c r="U83" s="4" t="str">
        <f t="shared" si="22"/>
        <v>H28</v>
      </c>
      <c r="V83" s="4" t="str">
        <f t="shared" si="23"/>
        <v>I28</v>
      </c>
      <c r="W83" s="4" t="str">
        <f t="shared" si="24"/>
        <v>J28</v>
      </c>
      <c r="X83" s="4" t="str">
        <f t="shared" si="25"/>
        <v>K28</v>
      </c>
      <c r="Y83" s="4" t="str">
        <f t="shared" si="26"/>
        <v>L28</v>
      </c>
      <c r="AA83" s="231">
        <f>AA81+1</f>
        <v>35</v>
      </c>
      <c r="AB83" s="233">
        <f>AB81+ORM</f>
        <v>0.54861111111111094</v>
      </c>
      <c r="AC83" s="233">
        <f>AB83+TIME(0,3,0)</f>
        <v>0.55069444444444426</v>
      </c>
      <c r="AD83" s="23" t="str" cm="1">
        <f t="array" aca="1" ref="AD83" ca="1">IFERROR(CONCATENATE(_xlfn.XLOOKUP(INDIRECT(R83),TeamList[מס"ד],TeamList[מס'' הקבוצה])," ",_xlfn.XLOOKUP(INDIRECT(R83),TeamList[מס"ד],TeamList[שם הקבוצה])),"")</f>
        <v>1616 אילן רמון</v>
      </c>
      <c r="AE83" s="23" t="str" cm="1">
        <f t="array" aca="1" ref="AE83" ca="1">IFERROR(CONCATENATE(_xlfn.XLOOKUP(INDIRECT(S83),TeamList[מס"ד],TeamList[מס'' הקבוצה])," ",_xlfn.XLOOKUP(INDIRECT(S83),TeamList[מס"ד],TeamList[שם הקבוצה])),"")</f>
        <v>3182 בנים</v>
      </c>
      <c r="AF83" s="23" t="str" cm="1">
        <f t="array" aca="1" ref="AF83" ca="1">IFERROR(CONCATENATE(_xlfn.XLOOKUP(INDIRECT(T83),TeamList[מס"ד],TeamList[מס'' הקבוצה])," ",_xlfn.XLOOKUP(INDIRECT(T83),TeamList[מס"ד],TeamList[שם הקבוצה])),"")</f>
        <v>1333 אפרתה</v>
      </c>
      <c r="AG83" s="23" t="str" cm="1">
        <f t="array" aca="1" ref="AG83" ca="1">IFERROR(CONCATENATE(_xlfn.XLOOKUP(INDIRECT(U83),TeamList[מס"ד],TeamList[מס'' הקבוצה])," ",_xlfn.XLOOKUP(INDIRECT(U83),TeamList[מס"ד],TeamList[שם הקבוצה])),"")</f>
        <v xml:space="preserve">52 הנדסאים </v>
      </c>
      <c r="AH83" s="23" t="str" cm="1">
        <f t="array" aca="1" ref="AH83" ca="1">IFERROR(CONCATENATE(_xlfn.XLOOKUP(INDIRECT(V83),TeamList[מס"ד],TeamList[מס'' הקבוצה])," ",_xlfn.XLOOKUP(INDIRECT(V83),TeamList[מס"ד],TeamList[שם הקבוצה])),"")</f>
        <v/>
      </c>
      <c r="AI83" s="23" t="str" cm="1">
        <f t="array" aca="1" ref="AI83" ca="1">IFERROR(CONCATENATE(_xlfn.XLOOKUP(INDIRECT(W83),TeamList[מס"ד],TeamList[מס'' הקבוצה])," ",_xlfn.XLOOKUP(INDIRECT(W83),TeamList[מס"ד],TeamList[שם הקבוצה])),"")</f>
        <v/>
      </c>
      <c r="AJ83" s="23" t="str" cm="1">
        <f t="array" aca="1" ref="AJ83" ca="1">IFERROR(CONCATENATE(_xlfn.XLOOKUP(INDIRECT(X83),TeamList[מס"ד],TeamList[מס'' הקבוצה])," ",_xlfn.XLOOKUP(INDIRECT(X83),TeamList[מס"ד],TeamList[שם הקבוצה])),"")</f>
        <v/>
      </c>
      <c r="AK83" s="73" t="str" cm="1">
        <f t="array" aca="1" ref="AK83" ca="1">IFERROR(CONCATENATE(_xlfn.XLOOKUP(INDIRECT(Y83),TeamList[מס"ד],TeamList[מס'' הקבוצה])," ",_xlfn.XLOOKUP(INDIRECT(Y83),TeamList[מס"ד],TeamList[שם הקבוצה])),"")</f>
        <v/>
      </c>
    </row>
    <row r="84" spans="2:37" s="4" customFormat="1" ht="13.9" customHeight="1" thickBot="1" x14ac:dyDescent="0.8">
      <c r="B84" s="2"/>
      <c r="C84" s="5"/>
      <c r="D84" s="5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5"/>
      <c r="Q84" s="4">
        <v>21</v>
      </c>
      <c r="R84" s="4" t="str">
        <f t="shared" si="19"/>
        <v>E28</v>
      </c>
      <c r="S84" s="4" t="str">
        <f t="shared" si="20"/>
        <v>F28</v>
      </c>
      <c r="T84" s="4" t="str">
        <f t="shared" si="21"/>
        <v>G28</v>
      </c>
      <c r="U84" s="4" t="str">
        <f t="shared" si="22"/>
        <v>H28</v>
      </c>
      <c r="V84" s="4" t="str">
        <f t="shared" si="23"/>
        <v>I28</v>
      </c>
      <c r="W84" s="4" t="str">
        <f t="shared" si="24"/>
        <v>J28</v>
      </c>
      <c r="X84" s="4" t="str">
        <f t="shared" si="25"/>
        <v>K28</v>
      </c>
      <c r="Y84" s="4" t="str">
        <f t="shared" si="26"/>
        <v>L28</v>
      </c>
      <c r="AA84" s="232"/>
      <c r="AB84" s="234"/>
      <c r="AC84" s="234"/>
      <c r="AD84" s="84" t="str" cm="1">
        <f t="array" aca="1" ref="AD84" ca="1">IFERROR(_xlfn.XLOOKUP(INDIRECT(R84),TeamList[מס"ד],TeamList[ישוב]),"")</f>
        <v>כפר סבא</v>
      </c>
      <c r="AE84" s="84" t="str" cm="1">
        <f t="array" aca="1" ref="AE84" ca="1">IFERROR(_xlfn.XLOOKUP(INDIRECT(S84),TeamList[מס"ד],TeamList[ישוב]),"")</f>
        <v>ירושלים</v>
      </c>
      <c r="AF84" s="84" t="str" cm="1">
        <f t="array" aca="1" ref="AF84" ca="1">IFERROR(_xlfn.XLOOKUP(INDIRECT(T84),TeamList[מס"ד],TeamList[ישוב]),"")</f>
        <v>ירושלים</v>
      </c>
      <c r="AG84" s="84" t="str" cm="1">
        <f t="array" aca="1" ref="AG84" ca="1">IFERROR(_xlfn.XLOOKUP(INDIRECT(U84),TeamList[מס"ד],TeamList[ישוב]),"")</f>
        <v>הרצליה</v>
      </c>
      <c r="AH84" s="84" t="str" cm="1">
        <f t="array" aca="1" ref="AH84" ca="1">IFERROR(_xlfn.XLOOKUP(INDIRECT(V84),TeamList[מס"ד],TeamList[ישוב]),"")</f>
        <v/>
      </c>
      <c r="AI84" s="84" t="str" cm="1">
        <f t="array" aca="1" ref="AI84" ca="1">IFERROR(_xlfn.XLOOKUP(INDIRECT(W84),TeamList[מס"ד],TeamList[ישוב]),"")</f>
        <v/>
      </c>
      <c r="AJ84" s="84" t="str" cm="1">
        <f t="array" aca="1" ref="AJ84" ca="1">IFERROR(_xlfn.XLOOKUP(INDIRECT(X84),TeamList[מס"ד],TeamList[ישוב]),"")</f>
        <v/>
      </c>
      <c r="AK84" s="85" t="str" cm="1">
        <f t="array" aca="1" ref="AK84" ca="1">IFERROR(_xlfn.XLOOKUP(INDIRECT(Y84),TeamList[מס"ד],TeamList[ישוב]),"")</f>
        <v/>
      </c>
    </row>
    <row r="85" spans="2:37" s="4" customFormat="1" ht="13.9" customHeight="1" x14ac:dyDescent="0.65">
      <c r="B85" s="2"/>
      <c r="C85" s="5"/>
      <c r="D85" s="5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5"/>
      <c r="Q85" s="4">
        <v>22</v>
      </c>
      <c r="R85" s="4" t="str">
        <f t="shared" si="19"/>
        <v>E29</v>
      </c>
      <c r="S85" s="4" t="str">
        <f t="shared" si="20"/>
        <v>F29</v>
      </c>
      <c r="T85" s="4" t="str">
        <f t="shared" si="21"/>
        <v>G29</v>
      </c>
      <c r="U85" s="4" t="str">
        <f t="shared" si="22"/>
        <v>H29</v>
      </c>
      <c r="V85" s="4" t="str">
        <f t="shared" si="23"/>
        <v>I29</v>
      </c>
      <c r="W85" s="4" t="str">
        <f t="shared" si="24"/>
        <v>J29</v>
      </c>
      <c r="X85" s="4" t="str">
        <f t="shared" si="25"/>
        <v>K29</v>
      </c>
      <c r="Y85" s="4" t="str">
        <f t="shared" si="26"/>
        <v>L29</v>
      </c>
      <c r="AA85" s="235">
        <f>AA83+1</f>
        <v>36</v>
      </c>
      <c r="AB85" s="237">
        <f>AB83+ORM</f>
        <v>0.55208333333333315</v>
      </c>
      <c r="AC85" s="237">
        <f>AB85+TIME(0,3,0)</f>
        <v>0.55416666666666647</v>
      </c>
      <c r="AD85" s="24" t="str" cm="1">
        <f t="array" aca="1" ref="AD85" ca="1">IFERROR(CONCATENATE(_xlfn.XLOOKUP(INDIRECT(R85),TeamList[מס"ד],TeamList[מס'' הקבוצה])," ",_xlfn.XLOOKUP(INDIRECT(R85),TeamList[מס"ד],TeamList[שם הקבוצה])),"")</f>
        <v/>
      </c>
      <c r="AE85" s="24" t="str" cm="1">
        <f t="array" aca="1" ref="AE85" ca="1">IFERROR(CONCATENATE(_xlfn.XLOOKUP(INDIRECT(S85),TeamList[מס"ד],TeamList[מס'' הקבוצה])," ",_xlfn.XLOOKUP(INDIRECT(S85),TeamList[מס"ד],TeamList[שם הקבוצה])),"")</f>
        <v/>
      </c>
      <c r="AF85" s="24" t="str" cm="1">
        <f t="array" aca="1" ref="AF85" ca="1">IFERROR(CONCATENATE(_xlfn.XLOOKUP(INDIRECT(T85),TeamList[מס"ד],TeamList[מס'' הקבוצה])," ",_xlfn.XLOOKUP(INDIRECT(T85),TeamList[מס"ד],TeamList[שם הקבוצה])),"")</f>
        <v/>
      </c>
      <c r="AG85" s="24" t="str" cm="1">
        <f t="array" aca="1" ref="AG85" ca="1">IFERROR(CONCATENATE(_xlfn.XLOOKUP(INDIRECT(U85),TeamList[מס"ד],TeamList[מס'' הקבוצה])," ",_xlfn.XLOOKUP(INDIRECT(U85),TeamList[מס"ד],TeamList[שם הקבוצה])),"")</f>
        <v/>
      </c>
      <c r="AH85" s="24" t="str" cm="1">
        <f t="array" aca="1" ref="AH85" ca="1">IFERROR(CONCATENATE(_xlfn.XLOOKUP(INDIRECT(V85),TeamList[מס"ד],TeamList[מס'' הקבוצה])," ",_xlfn.XLOOKUP(INDIRECT(V85),TeamList[מס"ד],TeamList[שם הקבוצה])),"")</f>
        <v>1720 אגרון</v>
      </c>
      <c r="AI85" s="24" t="str" cm="1">
        <f t="array" aca="1" ref="AI85" ca="1">IFERROR(CONCATENATE(_xlfn.XLOOKUP(INDIRECT(W85),TeamList[מס"ד],TeamList[מס'' הקבוצה])," ",_xlfn.XLOOKUP(INDIRECT(W85),TeamList[מס"ד],TeamList[שם הקבוצה])),"")</f>
        <v xml:space="preserve">1324 עירוני ד </v>
      </c>
      <c r="AJ85" s="24" t="str" cm="1">
        <f t="array" aca="1" ref="AJ85" ca="1">IFERROR(CONCATENATE(_xlfn.XLOOKUP(INDIRECT(X85),TeamList[מס"ד],TeamList[מס'' הקבוצה])," ",_xlfn.XLOOKUP(INDIRECT(X85),TeamList[מס"ד],TeamList[שם הקבוצה])),"")</f>
        <v xml:space="preserve">662 אלגדיר </v>
      </c>
      <c r="AK85" s="72" t="str" cm="1">
        <f t="array" aca="1" ref="AK85" ca="1">IFERROR(CONCATENATE(_xlfn.XLOOKUP(INDIRECT(Y85),TeamList[מס"ד],TeamList[מס'' הקבוצה])," ",_xlfn.XLOOKUP(INDIRECT(Y85),TeamList[מס"ד],TeamList[שם הקבוצה])),"")</f>
        <v xml:space="preserve">240 קרית נוער </v>
      </c>
    </row>
    <row r="86" spans="2:37" s="4" customFormat="1" ht="13.9" customHeight="1" thickBot="1" x14ac:dyDescent="0.8">
      <c r="B86" s="2"/>
      <c r="C86" s="5"/>
      <c r="D86" s="5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5"/>
      <c r="Q86" s="4">
        <v>23</v>
      </c>
      <c r="R86" s="4" t="str">
        <f t="shared" si="19"/>
        <v>E29</v>
      </c>
      <c r="S86" s="4" t="str">
        <f t="shared" si="20"/>
        <v>F29</v>
      </c>
      <c r="T86" s="4" t="str">
        <f t="shared" si="21"/>
        <v>G29</v>
      </c>
      <c r="U86" s="4" t="str">
        <f t="shared" si="22"/>
        <v>H29</v>
      </c>
      <c r="V86" s="4" t="str">
        <f t="shared" si="23"/>
        <v>I29</v>
      </c>
      <c r="W86" s="4" t="str">
        <f t="shared" si="24"/>
        <v>J29</v>
      </c>
      <c r="X86" s="4" t="str">
        <f t="shared" si="25"/>
        <v>K29</v>
      </c>
      <c r="Y86" s="4" t="str">
        <f t="shared" si="26"/>
        <v>L29</v>
      </c>
      <c r="AA86" s="236"/>
      <c r="AB86" s="238"/>
      <c r="AC86" s="238"/>
      <c r="AD86" s="86" t="str" cm="1">
        <f t="array" aca="1" ref="AD86" ca="1">IFERROR(_xlfn.XLOOKUP(INDIRECT(R86),TeamList[מס"ד],TeamList[ישוב]),"")</f>
        <v/>
      </c>
      <c r="AE86" s="86" t="str" cm="1">
        <f t="array" aca="1" ref="AE86" ca="1">IFERROR(_xlfn.XLOOKUP(INDIRECT(S86),TeamList[מס"ד],TeamList[ישוב]),"")</f>
        <v/>
      </c>
      <c r="AF86" s="86" t="str" cm="1">
        <f t="array" aca="1" ref="AF86" ca="1">IFERROR(_xlfn.XLOOKUP(INDIRECT(T86),TeamList[מס"ד],TeamList[ישוב]),"")</f>
        <v/>
      </c>
      <c r="AG86" s="86" t="str" cm="1">
        <f t="array" aca="1" ref="AG86" ca="1">IFERROR(_xlfn.XLOOKUP(INDIRECT(U86),TeamList[מס"ד],TeamList[ישוב]),"")</f>
        <v/>
      </c>
      <c r="AH86" s="86" t="str" cm="1">
        <f t="array" aca="1" ref="AH86" ca="1">IFERROR(_xlfn.XLOOKUP(INDIRECT(V86),TeamList[מס"ד],TeamList[ישוב]),"")</f>
        <v>ירושלים</v>
      </c>
      <c r="AI86" s="86" t="str" cm="1">
        <f t="array" aca="1" ref="AI86" ca="1">IFERROR(_xlfn.XLOOKUP(INDIRECT(W86),TeamList[מס"ד],TeamList[ישוב]),"")</f>
        <v>מודיעין-מכבים-רעות</v>
      </c>
      <c r="AJ86" s="86" t="str" cm="1">
        <f t="array" aca="1" ref="AJ86" ca="1">IFERROR(_xlfn.XLOOKUP(INDIRECT(X86),TeamList[מס"ד],TeamList[ישוב]),"")</f>
        <v>סח׳נין</v>
      </c>
      <c r="AK86" s="87" t="str" cm="1">
        <f t="array" aca="1" ref="AK86" ca="1">IFERROR(_xlfn.XLOOKUP(INDIRECT(Y86),TeamList[מס"ד],TeamList[ישוב]),"")</f>
        <v>ירושלים</v>
      </c>
    </row>
    <row r="87" spans="2:37" s="4" customFormat="1" ht="21.65" customHeight="1" thickBot="1" x14ac:dyDescent="0.8">
      <c r="B87" s="2"/>
      <c r="C87" s="5"/>
      <c r="D87" s="5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5"/>
      <c r="Q87" s="5"/>
      <c r="AA87" s="240" t="s">
        <v>31</v>
      </c>
      <c r="AB87" s="241"/>
      <c r="AC87" s="241"/>
      <c r="AD87" s="241"/>
      <c r="AE87" s="241"/>
      <c r="AF87" s="241"/>
      <c r="AG87" s="241"/>
      <c r="AH87" s="241"/>
      <c r="AI87" s="241"/>
      <c r="AJ87" s="241"/>
      <c r="AK87" s="242"/>
    </row>
    <row r="88" spans="2:37" s="4" customFormat="1" ht="13.9" customHeight="1" x14ac:dyDescent="0.65">
      <c r="B88" s="2"/>
      <c r="C88" s="5"/>
      <c r="D88" s="5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5"/>
      <c r="Q88" s="5"/>
      <c r="AA88" s="79"/>
      <c r="AB88" s="79"/>
      <c r="AC88" s="79"/>
      <c r="AD88" s="96"/>
      <c r="AE88" s="96"/>
      <c r="AF88" s="96"/>
      <c r="AG88" s="96"/>
      <c r="AH88" s="96"/>
      <c r="AI88" s="96"/>
      <c r="AJ88" s="96"/>
      <c r="AK88" s="96"/>
    </row>
    <row r="89" spans="2:37" s="4" customFormat="1" ht="29.4" customHeight="1" thickBot="1" x14ac:dyDescent="0.8">
      <c r="B89" s="2"/>
      <c r="C89" s="5"/>
      <c r="D89" s="5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5"/>
      <c r="Q89" s="5"/>
      <c r="AA89" s="89"/>
      <c r="AB89" s="89"/>
      <c r="AC89" s="89"/>
      <c r="AD89" s="90"/>
      <c r="AE89" s="90"/>
      <c r="AF89" s="88" t="s">
        <v>32</v>
      </c>
      <c r="AG89" s="88" t="s">
        <v>33</v>
      </c>
      <c r="AH89" s="91" t="str">
        <f>'רשימת הקבוצות'!$C$1</f>
        <v>מוקדמות מס'</v>
      </c>
      <c r="AI89" s="92" t="str">
        <f>'רשימת הקבוצות'!$D$1</f>
        <v>4   בית אדום</v>
      </c>
      <c r="AJ89" s="244">
        <f>'רשימת הקבוצות'!$E$1</f>
        <v>44965</v>
      </c>
      <c r="AK89" s="244"/>
    </row>
    <row r="90" spans="2:37" s="4" customFormat="1" ht="27.65" customHeight="1" thickTop="1" thickBot="1" x14ac:dyDescent="0.8">
      <c r="B90" s="2"/>
      <c r="C90" s="5"/>
      <c r="D90" s="5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5"/>
      <c r="Q90" s="5"/>
      <c r="AA90" s="239" t="s">
        <v>191</v>
      </c>
      <c r="AB90" s="239"/>
      <c r="AC90" s="239"/>
      <c r="AD90" s="239"/>
      <c r="AE90" s="239"/>
      <c r="AF90" s="239"/>
      <c r="AG90" s="239"/>
      <c r="AH90" s="239"/>
      <c r="AI90" s="239"/>
      <c r="AJ90" s="239"/>
      <c r="AK90" s="239"/>
    </row>
    <row r="91" spans="2:37" s="4" customFormat="1" ht="24" customHeight="1" thickBot="1" x14ac:dyDescent="0.8">
      <c r="B91" s="2"/>
      <c r="C91" s="5"/>
      <c r="D91" s="5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5"/>
      <c r="Q91" s="5"/>
      <c r="AA91" s="93" t="s">
        <v>30</v>
      </c>
      <c r="AB91" s="94" t="s">
        <v>22</v>
      </c>
      <c r="AC91" s="94" t="s">
        <v>23</v>
      </c>
      <c r="AD91" s="95" t="str">
        <f t="shared" ref="AD91:AK91" si="27">R$1</f>
        <v>1 אדום</v>
      </c>
      <c r="AE91" s="95" t="str">
        <f t="shared" si="27"/>
        <v>2 אדום</v>
      </c>
      <c r="AF91" s="95" t="str">
        <f t="shared" si="27"/>
        <v>3 אדום</v>
      </c>
      <c r="AG91" s="95" t="str">
        <f t="shared" si="27"/>
        <v>4 אדום</v>
      </c>
      <c r="AH91" s="95" t="str">
        <f t="shared" si="27"/>
        <v>5 אדום</v>
      </c>
      <c r="AI91" s="95" t="str">
        <f t="shared" si="27"/>
        <v>6 אדום</v>
      </c>
      <c r="AJ91" s="95" t="str">
        <f t="shared" si="27"/>
        <v>7 אדום</v>
      </c>
      <c r="AK91" s="95" t="str">
        <f t="shared" si="27"/>
        <v>8 אדום</v>
      </c>
    </row>
    <row r="92" spans="2:37" s="4" customFormat="1" ht="13.9" customHeight="1" x14ac:dyDescent="0.65">
      <c r="B92" s="2"/>
      <c r="C92" s="5"/>
      <c r="D92" s="5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5"/>
      <c r="Q92" s="4">
        <v>0</v>
      </c>
      <c r="R92" s="4" t="str">
        <f>"E"&amp;(INT($Q92/2)+32)</f>
        <v>E32</v>
      </c>
      <c r="S92" s="4" t="str">
        <f>"F"&amp;(INT($Q92/2)+32)</f>
        <v>F32</v>
      </c>
      <c r="T92" s="4" t="str">
        <f>"G"&amp;(INT($Q92/2)+32)</f>
        <v>G32</v>
      </c>
      <c r="U92" s="4" t="str">
        <f>"H"&amp;(INT($Q92/2)+32)</f>
        <v>H32</v>
      </c>
      <c r="V92" s="4" t="str">
        <f>"I"&amp;(INT($Q92/2)+32)</f>
        <v>I32</v>
      </c>
      <c r="W92" s="4" t="str">
        <f>"J"&amp;(INT($Q92/2)+32)</f>
        <v>J32</v>
      </c>
      <c r="X92" s="4" t="str">
        <f>"K"&amp;(INT($Q92/2)+32)</f>
        <v>K32</v>
      </c>
      <c r="Y92" s="4" t="str">
        <f>"L"&amp;(INT($Q92/2)+32)</f>
        <v>L32</v>
      </c>
      <c r="AA92" s="231">
        <f>_xlfn.XLOOKUP(N,break_scheduler['# of teams],break_scheduler[Round matches])*3+1</f>
        <v>37</v>
      </c>
      <c r="AB92" s="233">
        <f>start_round_III</f>
        <v>0.59027777777777768</v>
      </c>
      <c r="AC92" s="233">
        <f>AB92+TIME(0,3,0)</f>
        <v>0.59236111111111101</v>
      </c>
      <c r="AD92" s="23" t="str" cm="1">
        <f t="array" aca="1" ref="AD92" ca="1">IFERROR(CONCATENATE(_xlfn.XLOOKUP(INDIRECT(R92),TeamList[מס"ד],TeamList[מס'' הקבוצה])," ",_xlfn.XLOOKUP(INDIRECT(R92),TeamList[מס"ד],TeamList[שם הקבוצה])),"")</f>
        <v>3180 פלך בנים</v>
      </c>
      <c r="AE92" s="23" t="str" cm="1">
        <f t="array" aca="1" ref="AE92" ca="1">IFERROR(CONCATENATE(_xlfn.XLOOKUP(INDIRECT(S92),TeamList[מס"ד],TeamList[מס'' הקבוצה])," ",_xlfn.XLOOKUP(INDIRECT(S92),TeamList[מס"ד],TeamList[שם הקבוצה])),"")</f>
        <v>3163 מקיף</v>
      </c>
      <c r="AF92" s="23" t="str" cm="1">
        <f t="array" aca="1" ref="AF92" ca="1">IFERROR(CONCATENATE(_xlfn.XLOOKUP(INDIRECT(T92),TeamList[מס"ד],TeamList[מס'' הקבוצה])," ",_xlfn.XLOOKUP(INDIRECT(T92),TeamList[מס"ד],TeamList[שם הקבוצה])),"")</f>
        <v>1825 אילן רמון</v>
      </c>
      <c r="AG92" s="23" t="str" cm="1">
        <f t="array" aca="1" ref="AG92" ca="1">IFERROR(CONCATENATE(_xlfn.XLOOKUP(INDIRECT(U92),TeamList[מס"ד],TeamList[מס'' הקבוצה])," ",_xlfn.XLOOKUP(INDIRECT(U92),TeamList[מס"ד],TeamList[שם הקבוצה])),"")</f>
        <v>1042 כרמים</v>
      </c>
      <c r="AH92" s="23" t="str" cm="1">
        <f t="array" aca="1" ref="AH92" ca="1">IFERROR(CONCATENATE(_xlfn.XLOOKUP(INDIRECT(V92),TeamList[מס"ד],TeamList[מס'' הקבוצה])," ",_xlfn.XLOOKUP(INDIRECT(V92),TeamList[מס"ד],TeamList[שם הקבוצה])),"")</f>
        <v/>
      </c>
      <c r="AI92" s="23" t="str" cm="1">
        <f t="array" aca="1" ref="AI92" ca="1">IFERROR(CONCATENATE(_xlfn.XLOOKUP(INDIRECT(W92),TeamList[מס"ד],TeamList[מס'' הקבוצה])," ",_xlfn.XLOOKUP(INDIRECT(W92),TeamList[מס"ד],TeamList[שם הקבוצה])),"")</f>
        <v/>
      </c>
      <c r="AJ92" s="23" t="str" cm="1">
        <f t="array" aca="1" ref="AJ92" ca="1">IFERROR(CONCATENATE(_xlfn.XLOOKUP(INDIRECT(X92),TeamList[מס"ד],TeamList[מס'' הקבוצה])," ",_xlfn.XLOOKUP(INDIRECT(X92),TeamList[מס"ד],TeamList[שם הקבוצה])),"")</f>
        <v/>
      </c>
      <c r="AK92" s="73" t="str" cm="1">
        <f t="array" aca="1" ref="AK92" ca="1">IFERROR(CONCATENATE(_xlfn.XLOOKUP(INDIRECT(Y92),TeamList[מס"ד],TeamList[מס'' הקבוצה])," ",_xlfn.XLOOKUP(INDIRECT(Y92),TeamList[מס"ד],TeamList[שם הקבוצה])),"")</f>
        <v/>
      </c>
    </row>
    <row r="93" spans="2:37" s="4" customFormat="1" ht="13.9" customHeight="1" thickBot="1" x14ac:dyDescent="0.8">
      <c r="B93" s="2"/>
      <c r="C93" s="5"/>
      <c r="D93" s="5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5"/>
      <c r="Q93" s="4">
        <v>1</v>
      </c>
      <c r="R93" s="4" t="str">
        <f t="shared" ref="R93:R115" si="28">"E"&amp;(INT($Q93/2)+32)</f>
        <v>E32</v>
      </c>
      <c r="S93" s="4" t="str">
        <f t="shared" ref="S93:S115" si="29">"F"&amp;(INT($Q93/2)+32)</f>
        <v>F32</v>
      </c>
      <c r="T93" s="4" t="str">
        <f t="shared" ref="T93:T115" si="30">"G"&amp;(INT($Q93/2)+32)</f>
        <v>G32</v>
      </c>
      <c r="U93" s="4" t="str">
        <f t="shared" ref="U93:U115" si="31">"H"&amp;(INT($Q93/2)+32)</f>
        <v>H32</v>
      </c>
      <c r="V93" s="4" t="str">
        <f t="shared" ref="V93:V115" si="32">"I"&amp;(INT($Q93/2)+32)</f>
        <v>I32</v>
      </c>
      <c r="W93" s="4" t="str">
        <f t="shared" ref="W93:W115" si="33">"J"&amp;(INT($Q93/2)+32)</f>
        <v>J32</v>
      </c>
      <c r="X93" s="4" t="str">
        <f t="shared" ref="X93:X115" si="34">"K"&amp;(INT($Q93/2)+32)</f>
        <v>K32</v>
      </c>
      <c r="Y93" s="4" t="str">
        <f t="shared" ref="Y93:Y115" si="35">"L"&amp;(INT($Q93/2)+32)</f>
        <v>L32</v>
      </c>
      <c r="AA93" s="232" t="e">
        <f>_xlfn.XLOOKUP(N,#REF!,#REF!)+1</f>
        <v>#REF!</v>
      </c>
      <c r="AB93" s="234">
        <f>start_round_III</f>
        <v>0.59027777777777768</v>
      </c>
      <c r="AC93" s="234"/>
      <c r="AD93" s="84" t="str" cm="1">
        <f t="array" aca="1" ref="AD93" ca="1">IFERROR(_xlfn.XLOOKUP(INDIRECT(R93),TeamList[מס"ד],TeamList[ישוב]),"")</f>
        <v>ירושלים</v>
      </c>
      <c r="AE93" s="84" t="str" cm="1">
        <f t="array" aca="1" ref="AE93" ca="1">IFERROR(_xlfn.XLOOKUP(INDIRECT(S93),TeamList[מס"ד],TeamList[ישוב]),"")</f>
        <v>אעבלין</v>
      </c>
      <c r="AF93" s="84" t="str" cm="1">
        <f t="array" aca="1" ref="AF93" ca="1">IFERROR(_xlfn.XLOOKUP(INDIRECT(T93),TeamList[מס"ד],TeamList[ישוב]),"")</f>
        <v>כפר סבא</v>
      </c>
      <c r="AG93" s="84" t="str" cm="1">
        <f t="array" aca="1" ref="AG93" ca="1">IFERROR(_xlfn.XLOOKUP(INDIRECT(U93),TeamList[מס"ד],TeamList[ישוב]),"")</f>
        <v>בנימינה-גבעת עדה</v>
      </c>
      <c r="AH93" s="84" t="str" cm="1">
        <f t="array" aca="1" ref="AH93" ca="1">IFERROR(_xlfn.XLOOKUP(INDIRECT(V93),TeamList[מס"ד],TeamList[ישוב]),"")</f>
        <v/>
      </c>
      <c r="AI93" s="84" t="str" cm="1">
        <f t="array" aca="1" ref="AI93" ca="1">IFERROR(_xlfn.XLOOKUP(INDIRECT(W93),TeamList[מס"ד],TeamList[ישוב]),"")</f>
        <v/>
      </c>
      <c r="AJ93" s="84" t="str" cm="1">
        <f t="array" aca="1" ref="AJ93" ca="1">IFERROR(_xlfn.XLOOKUP(INDIRECT(X93),TeamList[מס"ד],TeamList[ישוב]),"")</f>
        <v/>
      </c>
      <c r="AK93" s="85" t="str" cm="1">
        <f t="array" aca="1" ref="AK93" ca="1">IFERROR(_xlfn.XLOOKUP(INDIRECT(Y93),TeamList[מס"ד],TeamList[ישוב]),"")</f>
        <v/>
      </c>
    </row>
    <row r="94" spans="2:37" s="4" customFormat="1" ht="13.9" customHeight="1" x14ac:dyDescent="0.65">
      <c r="B94" s="2"/>
      <c r="C94" s="5"/>
      <c r="D94" s="5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5"/>
      <c r="Q94" s="4">
        <v>2</v>
      </c>
      <c r="R94" s="4" t="str">
        <f t="shared" si="28"/>
        <v>E33</v>
      </c>
      <c r="S94" s="4" t="str">
        <f t="shared" si="29"/>
        <v>F33</v>
      </c>
      <c r="T94" s="4" t="str">
        <f t="shared" si="30"/>
        <v>G33</v>
      </c>
      <c r="U94" s="4" t="str">
        <f t="shared" si="31"/>
        <v>H33</v>
      </c>
      <c r="V94" s="4" t="str">
        <f t="shared" si="32"/>
        <v>I33</v>
      </c>
      <c r="W94" s="4" t="str">
        <f t="shared" si="33"/>
        <v>J33</v>
      </c>
      <c r="X94" s="4" t="str">
        <f t="shared" si="34"/>
        <v>K33</v>
      </c>
      <c r="Y94" s="4" t="str">
        <f t="shared" si="35"/>
        <v>L33</v>
      </c>
      <c r="AA94" s="235">
        <f>AA92+1</f>
        <v>38</v>
      </c>
      <c r="AB94" s="237">
        <f>AB92+ORM</f>
        <v>0.59374999999999989</v>
      </c>
      <c r="AC94" s="237">
        <f>AB94+TIME(0,3,0)</f>
        <v>0.59583333333333321</v>
      </c>
      <c r="AD94" s="24" t="str" cm="1">
        <f t="array" aca="1" ref="AD94" ca="1">IFERROR(CONCATENATE(_xlfn.XLOOKUP(INDIRECT(R94),TeamList[מס"ד],TeamList[מס'' הקבוצה])," ",_xlfn.XLOOKUP(INDIRECT(R94),TeamList[מס"ד],TeamList[שם הקבוצה])),"")</f>
        <v/>
      </c>
      <c r="AE94" s="24" t="str" cm="1">
        <f t="array" aca="1" ref="AE94" ca="1">IFERROR(CONCATENATE(_xlfn.XLOOKUP(INDIRECT(S94),TeamList[מס"ד],TeamList[מס'' הקבוצה])," ",_xlfn.XLOOKUP(INDIRECT(S94),TeamList[מס"ד],TeamList[שם הקבוצה])),"")</f>
        <v/>
      </c>
      <c r="AF94" s="24" t="str" cm="1">
        <f t="array" aca="1" ref="AF94" ca="1">IFERROR(CONCATENATE(_xlfn.XLOOKUP(INDIRECT(T94),TeamList[מס"ד],TeamList[מס'' הקבוצה])," ",_xlfn.XLOOKUP(INDIRECT(T94),TeamList[מס"ד],TeamList[שם הקבוצה])),"")</f>
        <v/>
      </c>
      <c r="AG94" s="24" t="str" cm="1">
        <f t="array" aca="1" ref="AG94" ca="1">IFERROR(CONCATENATE(_xlfn.XLOOKUP(INDIRECT(U94),TeamList[מס"ד],TeamList[מס'' הקבוצה])," ",_xlfn.XLOOKUP(INDIRECT(U94),TeamList[מס"ד],TeamList[שם הקבוצה])),"")</f>
        <v/>
      </c>
      <c r="AH94" s="24" t="str" cm="1">
        <f t="array" aca="1" ref="AH94" ca="1">IFERROR(CONCATENATE(_xlfn.XLOOKUP(INDIRECT(V94),TeamList[מס"ד],TeamList[מס'' הקבוצה])," ",_xlfn.XLOOKUP(INDIRECT(V94),TeamList[מס"ד],TeamList[שם הקבוצה])),"")</f>
        <v xml:space="preserve">2954 עתידים </v>
      </c>
      <c r="AI94" s="24" t="str" cm="1">
        <f t="array" aca="1" ref="AI94" ca="1">IFERROR(CONCATENATE(_xlfn.XLOOKUP(INDIRECT(W94),TeamList[מס"ד],TeamList[מס'' הקבוצה])," ",_xlfn.XLOOKUP(INDIRECT(W94),TeamList[מס"ד],TeamList[שם הקבוצה])),"")</f>
        <v>3243 לאה גולדברג</v>
      </c>
      <c r="AJ94" s="24" t="str" cm="1">
        <f t="array" aca="1" ref="AJ94" ca="1">IFERROR(CONCATENATE(_xlfn.XLOOKUP(INDIRECT(X94),TeamList[מס"ד],TeamList[מס'' הקבוצה])," ",_xlfn.XLOOKUP(INDIRECT(X94),TeamList[מס"ד],TeamList[שם הקבוצה])),"")</f>
        <v xml:space="preserve">2978 אל-קסטל </v>
      </c>
      <c r="AK94" s="72" t="str" cm="1">
        <f t="array" aca="1" ref="AK94" ca="1">IFERROR(CONCATENATE(_xlfn.XLOOKUP(INDIRECT(Y94),TeamList[מס"ד],TeamList[מס'' הקבוצה])," ",_xlfn.XLOOKUP(INDIRECT(Y94),TeamList[מס"ד],TeamList[שם הקבוצה])),"")</f>
        <v>2623 גינסבורג</v>
      </c>
    </row>
    <row r="95" spans="2:37" s="4" customFormat="1" ht="13.9" customHeight="1" thickBot="1" x14ac:dyDescent="0.8">
      <c r="B95" s="2"/>
      <c r="C95" s="5"/>
      <c r="D95" s="5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5"/>
      <c r="Q95" s="4">
        <v>3</v>
      </c>
      <c r="R95" s="4" t="str">
        <f t="shared" si="28"/>
        <v>E33</v>
      </c>
      <c r="S95" s="4" t="str">
        <f t="shared" si="29"/>
        <v>F33</v>
      </c>
      <c r="T95" s="4" t="str">
        <f t="shared" si="30"/>
        <v>G33</v>
      </c>
      <c r="U95" s="4" t="str">
        <f t="shared" si="31"/>
        <v>H33</v>
      </c>
      <c r="V95" s="4" t="str">
        <f t="shared" si="32"/>
        <v>I33</v>
      </c>
      <c r="W95" s="4" t="str">
        <f t="shared" si="33"/>
        <v>J33</v>
      </c>
      <c r="X95" s="4" t="str">
        <f t="shared" si="34"/>
        <v>K33</v>
      </c>
      <c r="Y95" s="4" t="str">
        <f t="shared" si="35"/>
        <v>L33</v>
      </c>
      <c r="AA95" s="236"/>
      <c r="AB95" s="238"/>
      <c r="AC95" s="238"/>
      <c r="AD95" s="86" t="str" cm="1">
        <f t="array" aca="1" ref="AD95" ca="1">IFERROR(_xlfn.XLOOKUP(INDIRECT(R95),TeamList[מס"ד],TeamList[ישוב]),"")</f>
        <v/>
      </c>
      <c r="AE95" s="86" t="str" cm="1">
        <f t="array" aca="1" ref="AE95" ca="1">IFERROR(_xlfn.XLOOKUP(INDIRECT(S95),TeamList[מס"ד],TeamList[ישוב]),"")</f>
        <v/>
      </c>
      <c r="AF95" s="86" t="str" cm="1">
        <f t="array" aca="1" ref="AF95" ca="1">IFERROR(_xlfn.XLOOKUP(INDIRECT(T95),TeamList[מס"ד],TeamList[ישוב]),"")</f>
        <v/>
      </c>
      <c r="AG95" s="86" t="str" cm="1">
        <f t="array" aca="1" ref="AG95" ca="1">IFERROR(_xlfn.XLOOKUP(INDIRECT(U95),TeamList[מס"ד],TeamList[ישוב]),"")</f>
        <v/>
      </c>
      <c r="AH95" s="86" t="str" cm="1">
        <f t="array" aca="1" ref="AH95" ca="1">IFERROR(_xlfn.XLOOKUP(INDIRECT(V95),TeamList[מס"ד],TeamList[ישוב]),"")</f>
        <v>חולון</v>
      </c>
      <c r="AI95" s="86" t="str" cm="1">
        <f t="array" aca="1" ref="AI95" ca="1">IFERROR(_xlfn.XLOOKUP(INDIRECT(W95),TeamList[מס"ד],TeamList[ישוב]),"")</f>
        <v>נתניה</v>
      </c>
      <c r="AJ95" s="86" t="str" cm="1">
        <f t="array" aca="1" ref="AJ95" ca="1">IFERROR(_xlfn.XLOOKUP(INDIRECT(X95),TeamList[מס"ד],TeamList[ישוב]),"")</f>
        <v>נצרת</v>
      </c>
      <c r="AK95" s="87" t="str" cm="1">
        <f t="array" aca="1" ref="AK95" ca="1">IFERROR(_xlfn.XLOOKUP(INDIRECT(Y95),TeamList[מס"ד],TeamList[ישוב]),"")</f>
        <v>יבנה</v>
      </c>
    </row>
    <row r="96" spans="2:37" s="4" customFormat="1" ht="13.9" customHeight="1" x14ac:dyDescent="0.65">
      <c r="B96" s="2"/>
      <c r="C96" s="5"/>
      <c r="D96" s="5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5"/>
      <c r="Q96" s="4">
        <v>4</v>
      </c>
      <c r="R96" s="4" t="str">
        <f t="shared" si="28"/>
        <v>E34</v>
      </c>
      <c r="S96" s="4" t="str">
        <f t="shared" si="29"/>
        <v>F34</v>
      </c>
      <c r="T96" s="4" t="str">
        <f t="shared" si="30"/>
        <v>G34</v>
      </c>
      <c r="U96" s="4" t="str">
        <f t="shared" si="31"/>
        <v>H34</v>
      </c>
      <c r="V96" s="4" t="str">
        <f t="shared" si="32"/>
        <v>I34</v>
      </c>
      <c r="W96" s="4" t="str">
        <f t="shared" si="33"/>
        <v>J34</v>
      </c>
      <c r="X96" s="4" t="str">
        <f t="shared" si="34"/>
        <v>K34</v>
      </c>
      <c r="Y96" s="4" t="str">
        <f t="shared" si="35"/>
        <v>L34</v>
      </c>
      <c r="AA96" s="231">
        <f>AA94+1</f>
        <v>39</v>
      </c>
      <c r="AB96" s="233">
        <f>AB94+ORM</f>
        <v>0.5972222222222221</v>
      </c>
      <c r="AC96" s="233">
        <f>AB96+TIME(0,3,0)</f>
        <v>0.59930555555555542</v>
      </c>
      <c r="AD96" s="23" t="str" cm="1">
        <f t="array" aca="1" ref="AD96" ca="1">IFERROR(CONCATENATE(_xlfn.XLOOKUP(INDIRECT(R96),TeamList[מס"ד],TeamList[מס'' הקבוצה])," ",_xlfn.XLOOKUP(INDIRECT(R96),TeamList[מס"ד],TeamList[שם הקבוצה])),"")</f>
        <v>1371 אלזהראוי</v>
      </c>
      <c r="AE96" s="23" t="str" cm="1">
        <f t="array" aca="1" ref="AE96" ca="1">IFERROR(CONCATENATE(_xlfn.XLOOKUP(INDIRECT(S96),TeamList[מס"ד],TeamList[מס'' הקבוצה])," ",_xlfn.XLOOKUP(INDIRECT(S96),TeamList[מס"ד],TeamList[שם הקבוצה])),"")</f>
        <v xml:space="preserve">588 אבן סינא </v>
      </c>
      <c r="AF96" s="23" t="str" cm="1">
        <f t="array" aca="1" ref="AF96" ca="1">IFERROR(CONCATENATE(_xlfn.XLOOKUP(INDIRECT(T96),TeamList[מס"ד],TeamList[מס'' הקבוצה])," ",_xlfn.XLOOKUP(INDIRECT(T96),TeamList[מס"ד],TeamList[שם הקבוצה])),"")</f>
        <v xml:space="preserve">515 אשכול פיס </v>
      </c>
      <c r="AG96" s="23" t="str" cm="1">
        <f t="array" aca="1" ref="AG96" ca="1">IFERROR(CONCATENATE(_xlfn.XLOOKUP(INDIRECT(U96),TeamList[מס"ד],TeamList[מס'' הקבוצה])," ",_xlfn.XLOOKUP(INDIRECT(U96),TeamList[מס"ד],TeamList[שם הקבוצה])),"")</f>
        <v>3139 ידלין</v>
      </c>
      <c r="AH96" s="23" t="str" cm="1">
        <f t="array" aca="1" ref="AH96" ca="1">IFERROR(CONCATENATE(_xlfn.XLOOKUP(INDIRECT(V96),TeamList[מס"ד],TeamList[מס'' הקבוצה])," ",_xlfn.XLOOKUP(INDIRECT(V96),TeamList[מס"ד],TeamList[שם הקבוצה])),"")</f>
        <v/>
      </c>
      <c r="AI96" s="23" t="str" cm="1">
        <f t="array" aca="1" ref="AI96" ca="1">IFERROR(CONCATENATE(_xlfn.XLOOKUP(INDIRECT(W96),TeamList[מס"ד],TeamList[מס'' הקבוצה])," ",_xlfn.XLOOKUP(INDIRECT(W96),TeamList[מס"ד],TeamList[שם הקבוצה])),"")</f>
        <v/>
      </c>
      <c r="AJ96" s="23" t="str" cm="1">
        <f t="array" aca="1" ref="AJ96" ca="1">IFERROR(CONCATENATE(_xlfn.XLOOKUP(INDIRECT(X96),TeamList[מס"ד],TeamList[מס'' הקבוצה])," ",_xlfn.XLOOKUP(INDIRECT(X96),TeamList[מס"ד],TeamList[שם הקבוצה])),"")</f>
        <v/>
      </c>
      <c r="AK96" s="73" t="str" cm="1">
        <f t="array" aca="1" ref="AK96" ca="1">IFERROR(CONCATENATE(_xlfn.XLOOKUP(INDIRECT(Y96),TeamList[מס"ד],TeamList[מס'' הקבוצה])," ",_xlfn.XLOOKUP(INDIRECT(Y96),TeamList[מס"ד],TeamList[שם הקבוצה])),"")</f>
        <v/>
      </c>
    </row>
    <row r="97" spans="2:47" s="4" customFormat="1" ht="13.9" customHeight="1" thickBot="1" x14ac:dyDescent="0.8">
      <c r="M97" s="1"/>
      <c r="N97" s="1"/>
      <c r="O97" s="1"/>
      <c r="P97" s="5"/>
      <c r="Q97" s="4">
        <v>5</v>
      </c>
      <c r="R97" s="4" t="str">
        <f t="shared" si="28"/>
        <v>E34</v>
      </c>
      <c r="S97" s="4" t="str">
        <f t="shared" si="29"/>
        <v>F34</v>
      </c>
      <c r="T97" s="4" t="str">
        <f t="shared" si="30"/>
        <v>G34</v>
      </c>
      <c r="U97" s="4" t="str">
        <f t="shared" si="31"/>
        <v>H34</v>
      </c>
      <c r="V97" s="4" t="str">
        <f t="shared" si="32"/>
        <v>I34</v>
      </c>
      <c r="W97" s="4" t="str">
        <f t="shared" si="33"/>
        <v>J34</v>
      </c>
      <c r="X97" s="4" t="str">
        <f t="shared" si="34"/>
        <v>K34</v>
      </c>
      <c r="Y97" s="4" t="str">
        <f t="shared" si="35"/>
        <v>L34</v>
      </c>
      <c r="AA97" s="232"/>
      <c r="AB97" s="234"/>
      <c r="AC97" s="234"/>
      <c r="AD97" s="84" t="str" cm="1">
        <f t="array" aca="1" ref="AD97" ca="1">IFERROR(_xlfn.XLOOKUP(INDIRECT(R97),TeamList[מס"ד],TeamList[ישוב]),"")</f>
        <v>אכסאל</v>
      </c>
      <c r="AE97" s="84" t="str" cm="1">
        <f t="array" aca="1" ref="AE97" ca="1">IFERROR(_xlfn.XLOOKUP(INDIRECT(S97),TeamList[מס"ד],TeamList[ישוב]),"")</f>
        <v>כפר קרע</v>
      </c>
      <c r="AF97" s="84" t="str" cm="1">
        <f t="array" aca="1" ref="AF97" ca="1">IFERROR(_xlfn.XLOOKUP(INDIRECT(T97),TeamList[מס"ד],TeamList[ישוב]),"")</f>
        <v>נס ציונה</v>
      </c>
      <c r="AG97" s="84" t="str" cm="1">
        <f t="array" aca="1" ref="AG97" ca="1">IFERROR(_xlfn.XLOOKUP(INDIRECT(U97),TeamList[מס"ד],TeamList[ישוב]),"")</f>
        <v>ראשון לציון</v>
      </c>
      <c r="AH97" s="84" t="str" cm="1">
        <f t="array" aca="1" ref="AH97" ca="1">IFERROR(_xlfn.XLOOKUP(INDIRECT(V97),TeamList[מס"ד],TeamList[ישוב]),"")</f>
        <v/>
      </c>
      <c r="AI97" s="84" t="str" cm="1">
        <f t="array" aca="1" ref="AI97" ca="1">IFERROR(_xlfn.XLOOKUP(INDIRECT(W97),TeamList[מס"ד],TeamList[ישוב]),"")</f>
        <v/>
      </c>
      <c r="AJ97" s="84" t="str" cm="1">
        <f t="array" aca="1" ref="AJ97" ca="1">IFERROR(_xlfn.XLOOKUP(INDIRECT(X97),TeamList[מס"ד],TeamList[ישוב]),"")</f>
        <v/>
      </c>
      <c r="AK97" s="85" t="str" cm="1">
        <f t="array" aca="1" ref="AK97" ca="1">IFERROR(_xlfn.XLOOKUP(INDIRECT(Y97),TeamList[מס"ד],TeamList[ישוב]),"")</f>
        <v/>
      </c>
    </row>
    <row r="98" spans="2:47" s="4" customFormat="1" ht="13.9" customHeight="1" x14ac:dyDescent="0.65">
      <c r="B98" s="2"/>
      <c r="C98" s="5"/>
      <c r="D98" s="5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5"/>
      <c r="Q98" s="4">
        <v>6</v>
      </c>
      <c r="R98" s="4" t="str">
        <f t="shared" si="28"/>
        <v>E35</v>
      </c>
      <c r="S98" s="4" t="str">
        <f t="shared" si="29"/>
        <v>F35</v>
      </c>
      <c r="T98" s="4" t="str">
        <f t="shared" si="30"/>
        <v>G35</v>
      </c>
      <c r="U98" s="4" t="str">
        <f t="shared" si="31"/>
        <v>H35</v>
      </c>
      <c r="V98" s="4" t="str">
        <f t="shared" si="32"/>
        <v>I35</v>
      </c>
      <c r="W98" s="4" t="str">
        <f t="shared" si="33"/>
        <v>J35</v>
      </c>
      <c r="X98" s="4" t="str">
        <f t="shared" si="34"/>
        <v>K35</v>
      </c>
      <c r="Y98" s="4" t="str">
        <f t="shared" si="35"/>
        <v>L35</v>
      </c>
      <c r="AA98" s="235">
        <f>AA96+1</f>
        <v>40</v>
      </c>
      <c r="AB98" s="237">
        <f>AB96+ORM</f>
        <v>0.60069444444444431</v>
      </c>
      <c r="AC98" s="237">
        <f>AB98+TIME(0,3,0)</f>
        <v>0.60277777777777763</v>
      </c>
      <c r="AD98" s="24" t="str" cm="1">
        <f t="array" aca="1" ref="AD98" ca="1">IFERROR(CONCATENATE(_xlfn.XLOOKUP(INDIRECT(R98),TeamList[מס"ד],TeamList[מס'' הקבוצה])," ",_xlfn.XLOOKUP(INDIRECT(R98),TeamList[מס"ד],TeamList[שם הקבוצה])),"")</f>
        <v/>
      </c>
      <c r="AE98" s="24" t="str" cm="1">
        <f t="array" aca="1" ref="AE98" ca="1">IFERROR(CONCATENATE(_xlfn.XLOOKUP(INDIRECT(S98),TeamList[מס"ד],TeamList[מס'' הקבוצה])," ",_xlfn.XLOOKUP(INDIRECT(S98),TeamList[מס"ד],TeamList[שם הקבוצה])),"")</f>
        <v/>
      </c>
      <c r="AF98" s="24" t="str" cm="1">
        <f t="array" aca="1" ref="AF98" ca="1">IFERROR(CONCATENATE(_xlfn.XLOOKUP(INDIRECT(T98),TeamList[מס"ד],TeamList[מס'' הקבוצה])," ",_xlfn.XLOOKUP(INDIRECT(T98),TeamList[מס"ד],TeamList[שם הקבוצה])),"")</f>
        <v/>
      </c>
      <c r="AG98" s="24" t="str" cm="1">
        <f t="array" aca="1" ref="AG98" ca="1">IFERROR(CONCATENATE(_xlfn.XLOOKUP(INDIRECT(U98),TeamList[מס"ד],TeamList[מס'' הקבוצה])," ",_xlfn.XLOOKUP(INDIRECT(U98),TeamList[מס"ד],TeamList[שם הקבוצה])),"")</f>
        <v/>
      </c>
      <c r="AH98" s="24" t="str" cm="1">
        <f t="array" aca="1" ref="AH98" ca="1">IFERROR(CONCATENATE(_xlfn.XLOOKUP(INDIRECT(V98),TeamList[מס"ד],TeamList[מס'' הקבוצה])," ",_xlfn.XLOOKUP(INDIRECT(V98),TeamList[מס"ד],TeamList[שם הקבוצה])),"")</f>
        <v>3179 נצח ישראל</v>
      </c>
      <c r="AI98" s="24" t="str" cm="1">
        <f t="array" aca="1" ref="AI98" ca="1">IFERROR(CONCATENATE(_xlfn.XLOOKUP(INDIRECT(W98),TeamList[מס"ד],TeamList[מס'' הקבוצה])," ",_xlfn.XLOOKUP(INDIRECT(W98),TeamList[מס"ד],TeamList[שם הקבוצה])),"")</f>
        <v>3185 תיכון דרך</v>
      </c>
      <c r="AJ98" s="24" t="str" cm="1">
        <f t="array" aca="1" ref="AJ98" ca="1">IFERROR(CONCATENATE(_xlfn.XLOOKUP(INDIRECT(X98),TeamList[מס"ד],TeamList[מס'' הקבוצה])," ",_xlfn.XLOOKUP(INDIRECT(X98),TeamList[מס"ד],TeamList[שם הקבוצה])),"")</f>
        <v xml:space="preserve">2977 הנדסאים </v>
      </c>
      <c r="AK98" s="72" t="str" cm="1">
        <f t="array" aca="1" ref="AK98" ca="1">IFERROR(CONCATENATE(_xlfn.XLOOKUP(INDIRECT(Y98),TeamList[מס"ד],TeamList[מס'' הקבוצה])," ",_xlfn.XLOOKUP(INDIRECT(Y98),TeamList[מס"ד],TeamList[שם הקבוצה])),"")</f>
        <v>3146 אלבוכארי</v>
      </c>
      <c r="AM98"/>
      <c r="AN98"/>
      <c r="AO98"/>
      <c r="AP98"/>
      <c r="AQ98"/>
      <c r="AR98"/>
      <c r="AS98"/>
      <c r="AT98"/>
      <c r="AU98"/>
    </row>
    <row r="99" spans="2:47" s="4" customFormat="1" ht="13.9" customHeight="1" thickBot="1" x14ac:dyDescent="0.8">
      <c r="B99" s="2"/>
      <c r="C99" s="5"/>
      <c r="D99" s="5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5"/>
      <c r="Q99" s="4">
        <v>7</v>
      </c>
      <c r="R99" s="4" t="str">
        <f t="shared" si="28"/>
        <v>E35</v>
      </c>
      <c r="S99" s="4" t="str">
        <f t="shared" si="29"/>
        <v>F35</v>
      </c>
      <c r="T99" s="4" t="str">
        <f t="shared" si="30"/>
        <v>G35</v>
      </c>
      <c r="U99" s="4" t="str">
        <f t="shared" si="31"/>
        <v>H35</v>
      </c>
      <c r="V99" s="4" t="str">
        <f t="shared" si="32"/>
        <v>I35</v>
      </c>
      <c r="W99" s="4" t="str">
        <f t="shared" si="33"/>
        <v>J35</v>
      </c>
      <c r="X99" s="4" t="str">
        <f t="shared" si="34"/>
        <v>K35</v>
      </c>
      <c r="Y99" s="4" t="str">
        <f t="shared" si="35"/>
        <v>L35</v>
      </c>
      <c r="AA99" s="236"/>
      <c r="AB99" s="238"/>
      <c r="AC99" s="238"/>
      <c r="AD99" s="86" t="str" cm="1">
        <f t="array" aca="1" ref="AD99" ca="1">IFERROR(_xlfn.XLOOKUP(INDIRECT(R99),TeamList[מס"ד],TeamList[ישוב]),"")</f>
        <v/>
      </c>
      <c r="AE99" s="86" t="str" cm="1">
        <f t="array" aca="1" ref="AE99" ca="1">IFERROR(_xlfn.XLOOKUP(INDIRECT(S99),TeamList[מס"ד],TeamList[ישוב]),"")</f>
        <v/>
      </c>
      <c r="AF99" s="86" t="str" cm="1">
        <f t="array" aca="1" ref="AF99" ca="1">IFERROR(_xlfn.XLOOKUP(INDIRECT(T99),TeamList[מס"ד],TeamList[ישוב]),"")</f>
        <v/>
      </c>
      <c r="AG99" s="86" t="str" cm="1">
        <f t="array" aca="1" ref="AG99" ca="1">IFERROR(_xlfn.XLOOKUP(INDIRECT(U99),TeamList[מס"ד],TeamList[ישוב]),"")</f>
        <v/>
      </c>
      <c r="AH99" s="86" t="str" cm="1">
        <f t="array" aca="1" ref="AH99" ca="1">IFERROR(_xlfn.XLOOKUP(INDIRECT(V99),TeamList[מס"ד],TeamList[ישוב]),"")</f>
        <v>בית שמש</v>
      </c>
      <c r="AI99" s="86" t="str" cm="1">
        <f t="array" aca="1" ref="AI99" ca="1">IFERROR(_xlfn.XLOOKUP(INDIRECT(W99),TeamList[מס"ד],TeamList[ישוב]),"")</f>
        <v>ירושלים</v>
      </c>
      <c r="AJ99" s="86" t="str" cm="1">
        <f t="array" aca="1" ref="AJ99" ca="1">IFERROR(_xlfn.XLOOKUP(INDIRECT(X99),TeamList[מס"ד],TeamList[ישוב]),"")</f>
        <v>הרצליה</v>
      </c>
      <c r="AK99" s="87" t="str" cm="1">
        <f t="array" aca="1" ref="AK99" ca="1">IFERROR(_xlfn.XLOOKUP(INDIRECT(Y99),TeamList[מס"ד],TeamList[ישוב]),"")</f>
        <v>עראבה</v>
      </c>
      <c r="AM99"/>
      <c r="AN99"/>
      <c r="AO99"/>
      <c r="AP99"/>
      <c r="AQ99"/>
      <c r="AR99"/>
      <c r="AS99"/>
      <c r="AT99"/>
      <c r="AU99"/>
    </row>
    <row r="100" spans="2:47" s="4" customFormat="1" ht="13.9" customHeight="1" x14ac:dyDescent="0.65">
      <c r="B100" s="2"/>
      <c r="C100" s="5"/>
      <c r="D100" s="5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5"/>
      <c r="Q100" s="4">
        <v>8</v>
      </c>
      <c r="R100" s="4" t="str">
        <f t="shared" si="28"/>
        <v>E36</v>
      </c>
      <c r="S100" s="4" t="str">
        <f t="shared" si="29"/>
        <v>F36</v>
      </c>
      <c r="T100" s="4" t="str">
        <f t="shared" si="30"/>
        <v>G36</v>
      </c>
      <c r="U100" s="4" t="str">
        <f t="shared" si="31"/>
        <v>H36</v>
      </c>
      <c r="V100" s="4" t="str">
        <f t="shared" si="32"/>
        <v>I36</v>
      </c>
      <c r="W100" s="4" t="str">
        <f t="shared" si="33"/>
        <v>J36</v>
      </c>
      <c r="X100" s="4" t="str">
        <f t="shared" si="34"/>
        <v>K36</v>
      </c>
      <c r="Y100" s="4" t="str">
        <f t="shared" si="35"/>
        <v>L36</v>
      </c>
      <c r="AA100" s="231">
        <f>AA98+1</f>
        <v>41</v>
      </c>
      <c r="AB100" s="233">
        <f>AB98+ORM</f>
        <v>0.60416666666666652</v>
      </c>
      <c r="AC100" s="233">
        <f>AB100+TIME(0,3,0)</f>
        <v>0.60624999999999984</v>
      </c>
      <c r="AD100" s="23" t="str" cm="1">
        <f t="array" aca="1" ref="AD100" ca="1">IFERROR(CONCATENATE(_xlfn.XLOOKUP(INDIRECT(R100),TeamList[מס"ד],TeamList[מס'' הקבוצה])," ",_xlfn.XLOOKUP(INDIRECT(R100),TeamList[מס"ד],TeamList[שם הקבוצה])),"")</f>
        <v>1043 עתיד כרמים</v>
      </c>
      <c r="AE100" s="23" t="str" cm="1">
        <f t="array" aca="1" ref="AE100" ca="1">IFERROR(CONCATENATE(_xlfn.XLOOKUP(INDIRECT(S100),TeamList[מס"ד],TeamList[מס'' הקבוצה])," ",_xlfn.XLOOKUP(INDIRECT(S100),TeamList[מס"ד],TeamList[שם הקבוצה])),"")</f>
        <v>1083 AGCTeam</v>
      </c>
      <c r="AF100" s="23" t="str" cm="1">
        <f t="array" aca="1" ref="AF100" ca="1">IFERROR(CONCATENATE(_xlfn.XLOOKUP(INDIRECT(T100),TeamList[מס"ד],TeamList[מס'' הקבוצה])," ",_xlfn.XLOOKUP(INDIRECT(T100),TeamList[מס"ד],TeamList[שם הקבוצה])),"")</f>
        <v>2222 אפרתה</v>
      </c>
      <c r="AG100" s="23" t="str" cm="1">
        <f t="array" aca="1" ref="AG100" ca="1">IFERROR(CONCATENATE(_xlfn.XLOOKUP(INDIRECT(U100),TeamList[מס"ד],TeamList[מס'' הקבוצה])," ",_xlfn.XLOOKUP(INDIRECT(U100),TeamList[מס"ד],TeamList[שם הקבוצה])),"")</f>
        <v xml:space="preserve">341 עירוני ד </v>
      </c>
      <c r="AH100" s="23" t="str" cm="1">
        <f t="array" aca="1" ref="AH100" ca="1">IFERROR(CONCATENATE(_xlfn.XLOOKUP(INDIRECT(V100),TeamList[מס"ד],TeamList[מס'' הקבוצה])," ",_xlfn.XLOOKUP(INDIRECT(V100),TeamList[מס"ד],TeamList[שם הקבוצה])),"")</f>
        <v/>
      </c>
      <c r="AI100" s="23" t="str" cm="1">
        <f t="array" aca="1" ref="AI100" ca="1">IFERROR(CONCATENATE(_xlfn.XLOOKUP(INDIRECT(W100),TeamList[מס"ד],TeamList[מס'' הקבוצה])," ",_xlfn.XLOOKUP(INDIRECT(W100),TeamList[מס"ד],TeamList[שם הקבוצה])),"")</f>
        <v/>
      </c>
      <c r="AJ100" s="23" t="str" cm="1">
        <f t="array" aca="1" ref="AJ100" ca="1">IFERROR(CONCATENATE(_xlfn.XLOOKUP(INDIRECT(X100),TeamList[מס"ד],TeamList[מס'' הקבוצה])," ",_xlfn.XLOOKUP(INDIRECT(X100),TeamList[מס"ד],TeamList[שם הקבוצה])),"")</f>
        <v/>
      </c>
      <c r="AK100" s="73" t="str" cm="1">
        <f t="array" aca="1" ref="AK100" ca="1">IFERROR(CONCATENATE(_xlfn.XLOOKUP(INDIRECT(Y100),TeamList[מס"ד],TeamList[מס'' הקבוצה])," ",_xlfn.XLOOKUP(INDIRECT(Y100),TeamList[מס"ד],TeamList[שם הקבוצה])),"")</f>
        <v/>
      </c>
      <c r="AM100"/>
      <c r="AN100"/>
      <c r="AO100"/>
      <c r="AP100"/>
      <c r="AQ100"/>
      <c r="AR100"/>
      <c r="AS100"/>
      <c r="AT100"/>
      <c r="AU100"/>
    </row>
    <row r="101" spans="2:47" s="4" customFormat="1" ht="13.9" customHeight="1" thickBot="1" x14ac:dyDescent="0.8">
      <c r="B101" s="2"/>
      <c r="C101" s="5"/>
      <c r="D101" s="5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5"/>
      <c r="Q101" s="4">
        <v>9</v>
      </c>
      <c r="R101" s="4" t="str">
        <f t="shared" si="28"/>
        <v>E36</v>
      </c>
      <c r="S101" s="4" t="str">
        <f t="shared" si="29"/>
        <v>F36</v>
      </c>
      <c r="T101" s="4" t="str">
        <f t="shared" si="30"/>
        <v>G36</v>
      </c>
      <c r="U101" s="4" t="str">
        <f t="shared" si="31"/>
        <v>H36</v>
      </c>
      <c r="V101" s="4" t="str">
        <f t="shared" si="32"/>
        <v>I36</v>
      </c>
      <c r="W101" s="4" t="str">
        <f t="shared" si="33"/>
        <v>J36</v>
      </c>
      <c r="X101" s="4" t="str">
        <f t="shared" si="34"/>
        <v>K36</v>
      </c>
      <c r="Y101" s="4" t="str">
        <f t="shared" si="35"/>
        <v>L36</v>
      </c>
      <c r="AA101" s="232"/>
      <c r="AB101" s="234"/>
      <c r="AC101" s="234"/>
      <c r="AD101" s="84" t="str" cm="1">
        <f t="array" aca="1" ref="AD101" ca="1">IFERROR(_xlfn.XLOOKUP(INDIRECT(R101),TeamList[מס"ד],TeamList[ישוב]),"")</f>
        <v>בנימינה-גבעת עדה</v>
      </c>
      <c r="AE101" s="84" t="str" cm="1">
        <f t="array" aca="1" ref="AE101" ca="1">IFERROR(_xlfn.XLOOKUP(INDIRECT(S101),TeamList[מס"ד],TeamList[ישוב]),"")</f>
        <v>אלון הגליל</v>
      </c>
      <c r="AF101" s="84" t="str" cm="1">
        <f t="array" aca="1" ref="AF101" ca="1">IFERROR(_xlfn.XLOOKUP(INDIRECT(T101),TeamList[מס"ד],TeamList[ישוב]),"")</f>
        <v>ירושלים</v>
      </c>
      <c r="AG101" s="84" t="str" cm="1">
        <f t="array" aca="1" ref="AG101" ca="1">IFERROR(_xlfn.XLOOKUP(INDIRECT(U101),TeamList[מס"ד],TeamList[ישוב]),"")</f>
        <v>מודיעין-מכבים-רעות</v>
      </c>
      <c r="AH101" s="84" t="str" cm="1">
        <f t="array" aca="1" ref="AH101" ca="1">IFERROR(_xlfn.XLOOKUP(INDIRECT(V101),TeamList[מס"ד],TeamList[ישוב]),"")</f>
        <v/>
      </c>
      <c r="AI101" s="84" t="str" cm="1">
        <f t="array" aca="1" ref="AI101" ca="1">IFERROR(_xlfn.XLOOKUP(INDIRECT(W101),TeamList[מס"ד],TeamList[ישוב]),"")</f>
        <v/>
      </c>
      <c r="AJ101" s="84" t="str" cm="1">
        <f t="array" aca="1" ref="AJ101" ca="1">IFERROR(_xlfn.XLOOKUP(INDIRECT(X101),TeamList[מס"ד],TeamList[ישוב]),"")</f>
        <v/>
      </c>
      <c r="AK101" s="85" t="str" cm="1">
        <f t="array" aca="1" ref="AK101" ca="1">IFERROR(_xlfn.XLOOKUP(INDIRECT(Y101),TeamList[מס"ד],TeamList[ישוב]),"")</f>
        <v/>
      </c>
      <c r="AM101"/>
      <c r="AN101"/>
      <c r="AO101"/>
      <c r="AP101"/>
      <c r="AQ101"/>
      <c r="AR101"/>
      <c r="AS101"/>
      <c r="AT101"/>
      <c r="AU101"/>
    </row>
    <row r="102" spans="2:47" s="4" customFormat="1" ht="13.9" customHeight="1" x14ac:dyDescent="0.65">
      <c r="B102" s="2"/>
      <c r="C102" s="5"/>
      <c r="D102" s="5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5"/>
      <c r="Q102" s="4">
        <v>10</v>
      </c>
      <c r="R102" s="4" t="str">
        <f t="shared" si="28"/>
        <v>E37</v>
      </c>
      <c r="S102" s="4" t="str">
        <f t="shared" si="29"/>
        <v>F37</v>
      </c>
      <c r="T102" s="4" t="str">
        <f t="shared" si="30"/>
        <v>G37</v>
      </c>
      <c r="U102" s="4" t="str">
        <f t="shared" si="31"/>
        <v>H37</v>
      </c>
      <c r="V102" s="4" t="str">
        <f t="shared" si="32"/>
        <v>I37</v>
      </c>
      <c r="W102" s="4" t="str">
        <f t="shared" si="33"/>
        <v>J37</v>
      </c>
      <c r="X102" s="4" t="str">
        <f t="shared" si="34"/>
        <v>K37</v>
      </c>
      <c r="Y102" s="4" t="str">
        <f t="shared" si="35"/>
        <v>L37</v>
      </c>
      <c r="AA102" s="235">
        <f>AA100+1</f>
        <v>42</v>
      </c>
      <c r="AB102" s="237">
        <f>AB100+ORM</f>
        <v>0.60763888888888873</v>
      </c>
      <c r="AC102" s="237">
        <f>AB102+TIME(0,3,0)</f>
        <v>0.60972222222222205</v>
      </c>
      <c r="AD102" s="24" t="str" cm="1">
        <f t="array" aca="1" ref="AD102" ca="1">IFERROR(CONCATENATE(_xlfn.XLOOKUP(INDIRECT(R102),TeamList[מס"ד],TeamList[מס'' הקבוצה])," ",_xlfn.XLOOKUP(INDIRECT(R102),TeamList[מס"ד],TeamList[שם הקבוצה])),"")</f>
        <v/>
      </c>
      <c r="AE102" s="24" t="str" cm="1">
        <f t="array" aca="1" ref="AE102" ca="1">IFERROR(CONCATENATE(_xlfn.XLOOKUP(INDIRECT(S102),TeamList[מס"ד],TeamList[מס'' הקבוצה])," ",_xlfn.XLOOKUP(INDIRECT(S102),TeamList[מס"ד],TeamList[שם הקבוצה])),"")</f>
        <v/>
      </c>
      <c r="AF102" s="24" t="str" cm="1">
        <f t="array" aca="1" ref="AF102" ca="1">IFERROR(CONCATENATE(_xlfn.XLOOKUP(INDIRECT(T102),TeamList[מס"ד],TeamList[מס'' הקבוצה])," ",_xlfn.XLOOKUP(INDIRECT(T102),TeamList[מס"ד],TeamList[שם הקבוצה])),"")</f>
        <v/>
      </c>
      <c r="AG102" s="24" t="str" cm="1">
        <f t="array" aca="1" ref="AG102" ca="1">IFERROR(CONCATENATE(_xlfn.XLOOKUP(INDIRECT(U102),TeamList[מס"ד],TeamList[מס'' הקבוצה])," ",_xlfn.XLOOKUP(INDIRECT(U102),TeamList[מס"ד],TeamList[שם הקבוצה])),"")</f>
        <v/>
      </c>
      <c r="AH102" s="24" t="str" cm="1">
        <f t="array" aca="1" ref="AH102" ca="1">IFERROR(CONCATENATE(_xlfn.XLOOKUP(INDIRECT(V102),TeamList[מס"ד],TeamList[מס'' הקבוצה])," ",_xlfn.XLOOKUP(INDIRECT(V102),TeamList[מס"ד],TeamList[שם הקבוצה])),"")</f>
        <v xml:space="preserve">3022 אברט </v>
      </c>
      <c r="AI102" s="24" t="str" cm="1">
        <f t="array" aca="1" ref="AI102" ca="1">IFERROR(CONCATENATE(_xlfn.XLOOKUP(INDIRECT(W102),TeamList[מס"ד],TeamList[מס'' הקבוצה])," ",_xlfn.XLOOKUP(INDIRECT(W102),TeamList[מס"ד],TeamList[שם הקבוצה])),"")</f>
        <v>3181 פלך בנים</v>
      </c>
      <c r="AJ102" s="24" t="str" cm="1">
        <f t="array" aca="1" ref="AJ102" ca="1">IFERROR(CONCATENATE(_xlfn.XLOOKUP(INDIRECT(X102),TeamList[מס"ד],TeamList[מס'' הקבוצה])," ",_xlfn.XLOOKUP(INDIRECT(X102),TeamList[מס"ד],TeamList[שם הקבוצה])),"")</f>
        <v>1864 אפרתה</v>
      </c>
      <c r="AK102" s="72" t="str" cm="1">
        <f t="array" aca="1" ref="AK102" ca="1">IFERROR(CONCATENATE(_xlfn.XLOOKUP(INDIRECT(Y102),TeamList[מס"ד],TeamList[מס'' הקבוצה])," ",_xlfn.XLOOKUP(INDIRECT(Y102),TeamList[מס"ד],TeamList[שם הקבוצה])),"")</f>
        <v>1152 אל זהראא ב</v>
      </c>
      <c r="AM102"/>
      <c r="AN102"/>
      <c r="AO102"/>
      <c r="AP102"/>
      <c r="AQ102"/>
      <c r="AR102"/>
      <c r="AS102"/>
      <c r="AT102"/>
      <c r="AU102"/>
    </row>
    <row r="103" spans="2:47" s="4" customFormat="1" ht="13.9" customHeight="1" thickBot="1" x14ac:dyDescent="0.8">
      <c r="B103" s="2"/>
      <c r="C103" s="5"/>
      <c r="D103" s="5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5"/>
      <c r="Q103" s="4">
        <v>11</v>
      </c>
      <c r="R103" s="4" t="str">
        <f t="shared" si="28"/>
        <v>E37</v>
      </c>
      <c r="S103" s="4" t="str">
        <f t="shared" si="29"/>
        <v>F37</v>
      </c>
      <c r="T103" s="4" t="str">
        <f t="shared" si="30"/>
        <v>G37</v>
      </c>
      <c r="U103" s="4" t="str">
        <f t="shared" si="31"/>
        <v>H37</v>
      </c>
      <c r="V103" s="4" t="str">
        <f t="shared" si="32"/>
        <v>I37</v>
      </c>
      <c r="W103" s="4" t="str">
        <f t="shared" si="33"/>
        <v>J37</v>
      </c>
      <c r="X103" s="4" t="str">
        <f t="shared" si="34"/>
        <v>K37</v>
      </c>
      <c r="Y103" s="4" t="str">
        <f t="shared" si="35"/>
        <v>L37</v>
      </c>
      <c r="AA103" s="236"/>
      <c r="AB103" s="238"/>
      <c r="AC103" s="238"/>
      <c r="AD103" s="86" t="str" cm="1">
        <f t="array" aca="1" ref="AD103" ca="1">IFERROR(_xlfn.XLOOKUP(INDIRECT(R103),TeamList[מס"ד],TeamList[ישוב]),"")</f>
        <v/>
      </c>
      <c r="AE103" s="86" t="str" cm="1">
        <f t="array" aca="1" ref="AE103" ca="1">IFERROR(_xlfn.XLOOKUP(INDIRECT(S103),TeamList[מס"ד],TeamList[ישוב]),"")</f>
        <v/>
      </c>
      <c r="AF103" s="86" t="str" cm="1">
        <f t="array" aca="1" ref="AF103" ca="1">IFERROR(_xlfn.XLOOKUP(INDIRECT(T103),TeamList[מס"ד],TeamList[ישוב]),"")</f>
        <v/>
      </c>
      <c r="AG103" s="86" t="str" cm="1">
        <f t="array" aca="1" ref="AG103" ca="1">IFERROR(_xlfn.XLOOKUP(INDIRECT(U103),TeamList[מס"ד],TeamList[ישוב]),"")</f>
        <v/>
      </c>
      <c r="AH103" s="86" t="str" cm="1">
        <f t="array" aca="1" ref="AH103" ca="1">IFERROR(_xlfn.XLOOKUP(INDIRECT(V103),TeamList[מס"ד],TeamList[ישוב]),"")</f>
        <v>חצור הגלילית</v>
      </c>
      <c r="AI103" s="86" t="str" cm="1">
        <f t="array" aca="1" ref="AI103" ca="1">IFERROR(_xlfn.XLOOKUP(INDIRECT(W103),TeamList[מס"ד],TeamList[ישוב]),"")</f>
        <v>ירושלים</v>
      </c>
      <c r="AJ103" s="86" t="str" cm="1">
        <f t="array" aca="1" ref="AJ103" ca="1">IFERROR(_xlfn.XLOOKUP(INDIRECT(X103),TeamList[מס"ד],TeamList[ישוב]),"")</f>
        <v>ירושלים</v>
      </c>
      <c r="AK103" s="87" t="str" cm="1">
        <f t="array" aca="1" ref="AK103" ca="1">IFERROR(_xlfn.XLOOKUP(INDIRECT(Y103),TeamList[מס"ד],TeamList[ישוב]),"")</f>
        <v>נצרת</v>
      </c>
      <c r="AM103"/>
      <c r="AN103"/>
      <c r="AO103"/>
      <c r="AP103"/>
      <c r="AQ103"/>
      <c r="AR103"/>
      <c r="AS103"/>
      <c r="AT103"/>
      <c r="AU103"/>
    </row>
    <row r="104" spans="2:47" s="4" customFormat="1" ht="13.9" customHeight="1" x14ac:dyDescent="0.65">
      <c r="B104" s="2"/>
      <c r="C104" s="5"/>
      <c r="D104" s="5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5"/>
      <c r="Q104" s="4">
        <v>12</v>
      </c>
      <c r="R104" s="4" t="str">
        <f t="shared" si="28"/>
        <v>E38</v>
      </c>
      <c r="S104" s="4" t="str">
        <f t="shared" si="29"/>
        <v>F38</v>
      </c>
      <c r="T104" s="4" t="str">
        <f t="shared" si="30"/>
        <v>G38</v>
      </c>
      <c r="U104" s="4" t="str">
        <f t="shared" si="31"/>
        <v>H38</v>
      </c>
      <c r="V104" s="4" t="str">
        <f t="shared" si="32"/>
        <v>I38</v>
      </c>
      <c r="W104" s="4" t="str">
        <f t="shared" si="33"/>
        <v>J38</v>
      </c>
      <c r="X104" s="4" t="str">
        <f t="shared" si="34"/>
        <v>K38</v>
      </c>
      <c r="Y104" s="4" t="str">
        <f t="shared" si="35"/>
        <v>L38</v>
      </c>
      <c r="AA104" s="231">
        <f>AA102+1</f>
        <v>43</v>
      </c>
      <c r="AB104" s="233">
        <f>AB102+ORM</f>
        <v>0.61111111111111094</v>
      </c>
      <c r="AC104" s="233">
        <f>AB104+TIME(0,3,0)</f>
        <v>0.61319444444444426</v>
      </c>
      <c r="AD104" s="23" t="str" cm="1">
        <f t="array" aca="1" ref="AD104" ca="1">IFERROR(CONCATENATE(_xlfn.XLOOKUP(INDIRECT(R104),TeamList[מס"ד],TeamList[מס'' הקבוצה])," ",_xlfn.XLOOKUP(INDIRECT(R104),TeamList[מס"ד],TeamList[שם הקבוצה])),"")</f>
        <v xml:space="preserve">52 הנדסאים </v>
      </c>
      <c r="AE104" s="219" t="str" cm="1">
        <f t="array" aca="1" ref="AE104" ca="1">IFERROR(CONCATENATE(_xlfn.XLOOKUP(INDIRECT(S104),TeamList[מס"ד],TeamList[מס'' הקבוצה])," ",_xlfn.XLOOKUP(INDIRECT(S104),TeamList[מס"ד],TeamList[שם הקבוצה])),"")</f>
        <v>2840 נצח ישראל</v>
      </c>
      <c r="AF104" s="23" t="str" cm="1">
        <f t="array" aca="1" ref="AF104" ca="1">IFERROR(CONCATENATE(_xlfn.XLOOKUP(INDIRECT(T104),TeamList[מס"ד],TeamList[מס'' הקבוצה])," ",_xlfn.XLOOKUP(INDIRECT(T104),TeamList[מס"ד],TeamList[שם הקבוצה])),"")</f>
        <v xml:space="preserve">1697 לאורו נלך </v>
      </c>
      <c r="AG104" s="23" t="str" cm="1">
        <f t="array" aca="1" ref="AG104" ca="1">IFERROR(CONCATENATE(_xlfn.XLOOKUP(INDIRECT(U104),TeamList[מס"ד],TeamList[מס'' הקבוצה])," ",_xlfn.XLOOKUP(INDIRECT(U104),TeamList[מס"ד],TeamList[שם הקבוצה])),"")</f>
        <v xml:space="preserve">240 קרית נוער </v>
      </c>
      <c r="AH104" s="23" t="str" cm="1">
        <f t="array" aca="1" ref="AH104" ca="1">IFERROR(CONCATENATE(_xlfn.XLOOKUP(INDIRECT(V104),TeamList[מס"ד],TeamList[מס'' הקבוצה])," ",_xlfn.XLOOKUP(INDIRECT(V104),TeamList[מס"ד],TeamList[שם הקבוצה])),"")</f>
        <v/>
      </c>
      <c r="AI104" s="23" t="str" cm="1">
        <f t="array" aca="1" ref="AI104" ca="1">IFERROR(CONCATENATE(_xlfn.XLOOKUP(INDIRECT(W104),TeamList[מס"ד],TeamList[מס'' הקבוצה])," ",_xlfn.XLOOKUP(INDIRECT(W104),TeamList[מס"ד],TeamList[שם הקבוצה])),"")</f>
        <v/>
      </c>
      <c r="AJ104" s="23" t="str" cm="1">
        <f t="array" aca="1" ref="AJ104" ca="1">IFERROR(CONCATENATE(_xlfn.XLOOKUP(INDIRECT(X104),TeamList[מס"ד],TeamList[מס'' הקבוצה])," ",_xlfn.XLOOKUP(INDIRECT(X104),TeamList[מס"ד],TeamList[שם הקבוצה])),"")</f>
        <v/>
      </c>
      <c r="AK104" s="73" t="str" cm="1">
        <f t="array" aca="1" ref="AK104" ca="1">IFERROR(CONCATENATE(_xlfn.XLOOKUP(INDIRECT(Y104),TeamList[מס"ד],TeamList[מס'' הקבוצה])," ",_xlfn.XLOOKUP(INDIRECT(Y104),TeamList[מס"ד],TeamList[שם הקבוצה])),"")</f>
        <v/>
      </c>
      <c r="AM104"/>
      <c r="AN104"/>
      <c r="AO104"/>
      <c r="AP104"/>
      <c r="AQ104"/>
      <c r="AR104"/>
      <c r="AS104"/>
      <c r="AT104"/>
      <c r="AU104"/>
    </row>
    <row r="105" spans="2:47" s="4" customFormat="1" ht="13.9" customHeight="1" thickBot="1" x14ac:dyDescent="0.8">
      <c r="B105" s="2"/>
      <c r="C105" s="5"/>
      <c r="D105" s="5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5"/>
      <c r="Q105" s="4">
        <v>13</v>
      </c>
      <c r="R105" s="4" t="str">
        <f t="shared" si="28"/>
        <v>E38</v>
      </c>
      <c r="S105" s="4" t="str">
        <f t="shared" si="29"/>
        <v>F38</v>
      </c>
      <c r="T105" s="4" t="str">
        <f t="shared" si="30"/>
        <v>G38</v>
      </c>
      <c r="U105" s="4" t="str">
        <f t="shared" si="31"/>
        <v>H38</v>
      </c>
      <c r="V105" s="4" t="str">
        <f t="shared" si="32"/>
        <v>I38</v>
      </c>
      <c r="W105" s="4" t="str">
        <f t="shared" si="33"/>
        <v>J38</v>
      </c>
      <c r="X105" s="4" t="str">
        <f t="shared" si="34"/>
        <v>K38</v>
      </c>
      <c r="Y105" s="4" t="str">
        <f t="shared" si="35"/>
        <v>L38</v>
      </c>
      <c r="AA105" s="232"/>
      <c r="AB105" s="234"/>
      <c r="AC105" s="234"/>
      <c r="AD105" s="84" t="str" cm="1">
        <f t="array" aca="1" ref="AD105" ca="1">IFERROR(_xlfn.XLOOKUP(INDIRECT(R105),TeamList[מס"ד],TeamList[ישוב]),"")</f>
        <v>הרצליה</v>
      </c>
      <c r="AE105" s="84" t="str" cm="1">
        <f t="array" aca="1" ref="AE105" ca="1">IFERROR(_xlfn.XLOOKUP(INDIRECT(S105),TeamList[מס"ד],TeamList[ישוב]),"")</f>
        <v>בית שמש</v>
      </c>
      <c r="AF105" s="84" t="str" cm="1">
        <f t="array" aca="1" ref="AF105" ca="1">IFERROR(_xlfn.XLOOKUP(INDIRECT(T105),TeamList[מס"ד],TeamList[ישוב]),"")</f>
        <v>בני ברק</v>
      </c>
      <c r="AG105" s="84" t="str" cm="1">
        <f t="array" aca="1" ref="AG105" ca="1">IFERROR(_xlfn.XLOOKUP(INDIRECT(U105),TeamList[מס"ד],TeamList[ישוב]),"")</f>
        <v>ירושלים</v>
      </c>
      <c r="AH105" s="84" t="str" cm="1">
        <f t="array" aca="1" ref="AH105" ca="1">IFERROR(_xlfn.XLOOKUP(INDIRECT(V105),TeamList[מס"ד],TeamList[ישוב]),"")</f>
        <v/>
      </c>
      <c r="AI105" s="84" t="str" cm="1">
        <f t="array" aca="1" ref="AI105" ca="1">IFERROR(_xlfn.XLOOKUP(INDIRECT(W105),TeamList[מס"ד],TeamList[ישוב]),"")</f>
        <v/>
      </c>
      <c r="AJ105" s="84" t="str" cm="1">
        <f t="array" aca="1" ref="AJ105" ca="1">IFERROR(_xlfn.XLOOKUP(INDIRECT(X105),TeamList[מס"ד],TeamList[ישוב]),"")</f>
        <v/>
      </c>
      <c r="AK105" s="85" t="str" cm="1">
        <f t="array" aca="1" ref="AK105" ca="1">IFERROR(_xlfn.XLOOKUP(INDIRECT(Y105),TeamList[מס"ד],TeamList[ישוב]),"")</f>
        <v/>
      </c>
      <c r="AM105"/>
      <c r="AN105"/>
      <c r="AO105"/>
      <c r="AP105"/>
      <c r="AQ105"/>
      <c r="AR105"/>
      <c r="AS105"/>
      <c r="AT105"/>
      <c r="AU105"/>
    </row>
    <row r="106" spans="2:47" s="4" customFormat="1" ht="13.9" customHeight="1" x14ac:dyDescent="0.65">
      <c r="B106" s="10"/>
      <c r="C106" s="5"/>
      <c r="D106" s="5"/>
      <c r="E106" s="3"/>
      <c r="F106" s="3"/>
      <c r="G106" s="3"/>
      <c r="H106" s="3"/>
      <c r="I106" s="3"/>
      <c r="J106" s="3"/>
      <c r="K106" s="3"/>
      <c r="L106" s="3"/>
      <c r="M106" s="1"/>
      <c r="N106" s="1"/>
      <c r="O106" s="1"/>
      <c r="P106" s="5"/>
      <c r="Q106" s="4">
        <v>14</v>
      </c>
      <c r="R106" s="4" t="str">
        <f t="shared" si="28"/>
        <v>E39</v>
      </c>
      <c r="S106" s="4" t="str">
        <f t="shared" si="29"/>
        <v>F39</v>
      </c>
      <c r="T106" s="4" t="str">
        <f t="shared" si="30"/>
        <v>G39</v>
      </c>
      <c r="U106" s="4" t="str">
        <f t="shared" si="31"/>
        <v>H39</v>
      </c>
      <c r="V106" s="4" t="str">
        <f t="shared" si="32"/>
        <v>I39</v>
      </c>
      <c r="W106" s="4" t="str">
        <f t="shared" si="33"/>
        <v>J39</v>
      </c>
      <c r="X106" s="4" t="str">
        <f t="shared" si="34"/>
        <v>K39</v>
      </c>
      <c r="Y106" s="4" t="str">
        <f t="shared" si="35"/>
        <v>L39</v>
      </c>
      <c r="AA106" s="235">
        <f>AA104+1</f>
        <v>44</v>
      </c>
      <c r="AB106" s="237">
        <f>AB104+ORM</f>
        <v>0.61458333333333315</v>
      </c>
      <c r="AC106" s="237">
        <f>AB106+TIME(0,3,0)</f>
        <v>0.61666666666666647</v>
      </c>
      <c r="AD106" s="24" t="str" cm="1">
        <f t="array" aca="1" ref="AD106" ca="1">IFERROR(CONCATENATE(_xlfn.XLOOKUP(INDIRECT(R106),TeamList[מס"ד],TeamList[מס'' הקבוצה])," ",_xlfn.XLOOKUP(INDIRECT(R106),TeamList[מס"ד],TeamList[שם הקבוצה])),"")</f>
        <v/>
      </c>
      <c r="AE106" s="24" t="str" cm="1">
        <f t="array" aca="1" ref="AE106" ca="1">IFERROR(CONCATENATE(_xlfn.XLOOKUP(INDIRECT(S106),TeamList[מס"ד],TeamList[מס'' הקבוצה])," ",_xlfn.XLOOKUP(INDIRECT(S106),TeamList[מס"ד],TeamList[שם הקבוצה])),"")</f>
        <v/>
      </c>
      <c r="AF106" s="24" t="str" cm="1">
        <f t="array" aca="1" ref="AF106" ca="1">IFERROR(CONCATENATE(_xlfn.XLOOKUP(INDIRECT(T106),TeamList[מס"ד],TeamList[מס'' הקבוצה])," ",_xlfn.XLOOKUP(INDIRECT(T106),TeamList[מס"ד],TeamList[שם הקבוצה])),"")</f>
        <v/>
      </c>
      <c r="AG106" s="24" t="str" cm="1">
        <f t="array" aca="1" ref="AG106" ca="1">IFERROR(CONCATENATE(_xlfn.XLOOKUP(INDIRECT(U106),TeamList[מס"ד],TeamList[מס'' הקבוצה])," ",_xlfn.XLOOKUP(INDIRECT(U106),TeamList[מס"ד],TeamList[שם הקבוצה])),"")</f>
        <v/>
      </c>
      <c r="AH106" s="24" t="str" cm="1">
        <f t="array" aca="1" ref="AH106" ca="1">IFERROR(CONCATENATE(_xlfn.XLOOKUP(INDIRECT(V106),TeamList[מס"ד],TeamList[מס'' הקבוצה])," ",_xlfn.XLOOKUP(INDIRECT(V106),TeamList[מס"ד],TeamList[שם הקבוצה])),"")</f>
        <v xml:space="preserve">662 אלגדיר </v>
      </c>
      <c r="AI106" s="24" t="str" cm="1">
        <f t="array" aca="1" ref="AI106" ca="1">IFERROR(CONCATENATE(_xlfn.XLOOKUP(INDIRECT(W106),TeamList[מס"ד],TeamList[מס'' הקבוצה])," ",_xlfn.XLOOKUP(INDIRECT(W106),TeamList[מס"ד],TeamList[שם הקבוצה])),"")</f>
        <v>1333 אפרתה</v>
      </c>
      <c r="AJ106" s="24" t="str" cm="1">
        <f t="array" aca="1" ref="AJ106" ca="1">IFERROR(CONCATENATE(_xlfn.XLOOKUP(INDIRECT(X106),TeamList[מס"ד],TeamList[מס'' הקבוצה])," ",_xlfn.XLOOKUP(INDIRECT(X106),TeamList[מס"ד],TeamList[שם הקבוצה])),"")</f>
        <v>3182 בנים</v>
      </c>
      <c r="AK106" s="218" t="str" cm="1">
        <f t="array" aca="1" ref="AK106" ca="1">IFERROR(CONCATENATE(_xlfn.XLOOKUP(INDIRECT(Y106),TeamList[מס"ד],TeamList[מס'' הקבוצה])," ",_xlfn.XLOOKUP(INDIRECT(Y106),TeamList[מס"ד],TeamList[שם הקבוצה])),"")</f>
        <v xml:space="preserve">1301 מרכז מחוננים </v>
      </c>
      <c r="AM106"/>
      <c r="AN106"/>
      <c r="AO106"/>
      <c r="AP106"/>
      <c r="AQ106"/>
      <c r="AR106"/>
      <c r="AS106"/>
      <c r="AT106"/>
      <c r="AU106"/>
    </row>
    <row r="107" spans="2:47" s="4" customFormat="1" ht="13.9" customHeight="1" thickBot="1" x14ac:dyDescent="0.8">
      <c r="B107" s="10"/>
      <c r="C107" s="5"/>
      <c r="D107" s="5"/>
      <c r="E107" s="3"/>
      <c r="F107" s="3"/>
      <c r="G107" s="3"/>
      <c r="H107" s="3"/>
      <c r="I107" s="3"/>
      <c r="J107" s="3"/>
      <c r="K107" s="3"/>
      <c r="L107" s="3"/>
      <c r="M107" s="1"/>
      <c r="N107" s="1"/>
      <c r="O107" s="1"/>
      <c r="P107" s="5"/>
      <c r="Q107" s="4">
        <v>15</v>
      </c>
      <c r="R107" s="4" t="str">
        <f t="shared" si="28"/>
        <v>E39</v>
      </c>
      <c r="S107" s="4" t="str">
        <f t="shared" si="29"/>
        <v>F39</v>
      </c>
      <c r="T107" s="4" t="str">
        <f t="shared" si="30"/>
        <v>G39</v>
      </c>
      <c r="U107" s="4" t="str">
        <f t="shared" si="31"/>
        <v>H39</v>
      </c>
      <c r="V107" s="4" t="str">
        <f t="shared" si="32"/>
        <v>I39</v>
      </c>
      <c r="W107" s="4" t="str">
        <f t="shared" si="33"/>
        <v>J39</v>
      </c>
      <c r="X107" s="4" t="str">
        <f t="shared" si="34"/>
        <v>K39</v>
      </c>
      <c r="Y107" s="4" t="str">
        <f t="shared" si="35"/>
        <v>L39</v>
      </c>
      <c r="AA107" s="236"/>
      <c r="AB107" s="238"/>
      <c r="AC107" s="238"/>
      <c r="AD107" s="86" t="str" cm="1">
        <f t="array" aca="1" ref="AD107" ca="1">IFERROR(_xlfn.XLOOKUP(INDIRECT(R107),TeamList[מס"ד],TeamList[ישוב]),"")</f>
        <v/>
      </c>
      <c r="AE107" s="86" t="str" cm="1">
        <f t="array" aca="1" ref="AE107" ca="1">IFERROR(_xlfn.XLOOKUP(INDIRECT(S107),TeamList[מס"ד],TeamList[ישוב]),"")</f>
        <v/>
      </c>
      <c r="AF107" s="86" t="str" cm="1">
        <f t="array" aca="1" ref="AF107" ca="1">IFERROR(_xlfn.XLOOKUP(INDIRECT(T107),TeamList[מס"ד],TeamList[ישוב]),"")</f>
        <v/>
      </c>
      <c r="AG107" s="86" t="str" cm="1">
        <f t="array" aca="1" ref="AG107" ca="1">IFERROR(_xlfn.XLOOKUP(INDIRECT(U107),TeamList[מס"ד],TeamList[ישוב]),"")</f>
        <v/>
      </c>
      <c r="AH107" s="86" t="str" cm="1">
        <f t="array" aca="1" ref="AH107" ca="1">IFERROR(_xlfn.XLOOKUP(INDIRECT(V107),TeamList[מס"ד],TeamList[ישוב]),"")</f>
        <v>סח׳נין</v>
      </c>
      <c r="AI107" s="86" t="str" cm="1">
        <f t="array" aca="1" ref="AI107" ca="1">IFERROR(_xlfn.XLOOKUP(INDIRECT(W107),TeamList[מס"ד],TeamList[ישוב]),"")</f>
        <v>ירושלים</v>
      </c>
      <c r="AJ107" s="86" t="str" cm="1">
        <f t="array" aca="1" ref="AJ107" ca="1">IFERROR(_xlfn.XLOOKUP(INDIRECT(X107),TeamList[מס"ד],TeamList[ישוב]),"")</f>
        <v>ירושלים</v>
      </c>
      <c r="AK107" s="87" t="str" cm="1">
        <f t="array" aca="1" ref="AK107" ca="1">IFERROR(_xlfn.XLOOKUP(INDIRECT(Y107),TeamList[מס"ד],TeamList[ישוב]),"")</f>
        <v>עראבה</v>
      </c>
      <c r="AM107"/>
      <c r="AN107"/>
      <c r="AO107"/>
      <c r="AP107"/>
      <c r="AQ107"/>
      <c r="AR107"/>
      <c r="AS107"/>
      <c r="AT107"/>
      <c r="AU107"/>
    </row>
    <row r="108" spans="2:47" s="4" customFormat="1" ht="13.9" customHeight="1" x14ac:dyDescent="0.65">
      <c r="B108" s="10"/>
      <c r="C108" s="5"/>
      <c r="D108" s="5"/>
      <c r="E108" s="3"/>
      <c r="F108" s="3"/>
      <c r="G108" s="3"/>
      <c r="H108" s="3"/>
      <c r="I108" s="3"/>
      <c r="J108" s="3"/>
      <c r="K108" s="3"/>
      <c r="L108" s="3"/>
      <c r="M108" s="1"/>
      <c r="N108" s="1"/>
      <c r="O108" s="1"/>
      <c r="P108" s="5"/>
      <c r="Q108" s="4">
        <v>16</v>
      </c>
      <c r="R108" s="4" t="str">
        <f t="shared" si="28"/>
        <v>E40</v>
      </c>
      <c r="S108" s="4" t="str">
        <f t="shared" si="29"/>
        <v>F40</v>
      </c>
      <c r="T108" s="4" t="str">
        <f t="shared" si="30"/>
        <v>G40</v>
      </c>
      <c r="U108" s="4" t="str">
        <f t="shared" si="31"/>
        <v>H40</v>
      </c>
      <c r="V108" s="4" t="str">
        <f t="shared" si="32"/>
        <v>I40</v>
      </c>
      <c r="W108" s="4" t="str">
        <f t="shared" si="33"/>
        <v>J40</v>
      </c>
      <c r="X108" s="4" t="str">
        <f t="shared" si="34"/>
        <v>K40</v>
      </c>
      <c r="Y108" s="4" t="str">
        <f t="shared" si="35"/>
        <v>L40</v>
      </c>
      <c r="AA108" s="231">
        <f>AA106+1</f>
        <v>45</v>
      </c>
      <c r="AB108" s="233">
        <f>AB106+ORM</f>
        <v>0.61805555555555536</v>
      </c>
      <c r="AC108" s="233">
        <f>AB108+TIME(0,3,0)</f>
        <v>0.62013888888888868</v>
      </c>
      <c r="AD108" s="23" t="str" cm="1">
        <f t="array" aca="1" ref="AD108" ca="1">IFERROR(CONCATENATE(_xlfn.XLOOKUP(INDIRECT(R108),TeamList[מס"ד],TeamList[מס'' הקבוצה])," ",_xlfn.XLOOKUP(INDIRECT(R108),TeamList[מס"ד],TeamList[שם הקבוצה])),"")</f>
        <v>2622 גינסבורג</v>
      </c>
      <c r="AE108" s="23" t="str" cm="1">
        <f t="array" aca="1" ref="AE108" ca="1">IFERROR(CONCATENATE(_xlfn.XLOOKUP(INDIRECT(S108),TeamList[מס"ד],TeamList[מס'' הקבוצה])," ",_xlfn.XLOOKUP(INDIRECT(S108),TeamList[מס"ד],TeamList[שם הקבוצה])),"")</f>
        <v xml:space="preserve">1324 עירוני ד </v>
      </c>
      <c r="AF108" s="23" t="str" cm="1">
        <f t="array" aca="1" ref="AF108" ca="1">IFERROR(CONCATENATE(_xlfn.XLOOKUP(INDIRECT(T108),TeamList[מס"ד],TeamList[מס'' הקבוצה])," ",_xlfn.XLOOKUP(INDIRECT(T108),TeamList[מס"ד],TeamList[שם הקבוצה])),"")</f>
        <v>1214 אל זהראא ב</v>
      </c>
      <c r="AG108" s="23" t="str" cm="1">
        <f t="array" aca="1" ref="AG108" ca="1">IFERROR(CONCATENATE(_xlfn.XLOOKUP(INDIRECT(U108),TeamList[מס"ד],TeamList[מס'' הקבוצה])," ",_xlfn.XLOOKUP(INDIRECT(U108),TeamList[מס"ד],TeamList[שם הקבוצה])),"")</f>
        <v>1616 אילן רמון</v>
      </c>
      <c r="AH108" s="23" t="str" cm="1">
        <f t="array" aca="1" ref="AH108" ca="1">IFERROR(CONCATENATE(_xlfn.XLOOKUP(INDIRECT(V108),TeamList[מס"ד],TeamList[מס'' הקבוצה])," ",_xlfn.XLOOKUP(INDIRECT(V108),TeamList[מס"ד],TeamList[שם הקבוצה])),"")</f>
        <v/>
      </c>
      <c r="AI108" s="23" t="str" cm="1">
        <f t="array" aca="1" ref="AI108" ca="1">IFERROR(CONCATENATE(_xlfn.XLOOKUP(INDIRECT(W108),TeamList[מס"ד],TeamList[מס'' הקבוצה])," ",_xlfn.XLOOKUP(INDIRECT(W108),TeamList[מס"ד],TeamList[שם הקבוצה])),"")</f>
        <v/>
      </c>
      <c r="AJ108" s="23" t="str" cm="1">
        <f t="array" aca="1" ref="AJ108" ca="1">IFERROR(CONCATENATE(_xlfn.XLOOKUP(INDIRECT(X108),TeamList[מס"ד],TeamList[מס'' הקבוצה])," ",_xlfn.XLOOKUP(INDIRECT(X108),TeamList[מס"ד],TeamList[שם הקבוצה])),"")</f>
        <v/>
      </c>
      <c r="AK108" s="73" t="str" cm="1">
        <f t="array" aca="1" ref="AK108" ca="1">IFERROR(CONCATENATE(_xlfn.XLOOKUP(INDIRECT(Y108),TeamList[מס"ד],TeamList[מס'' הקבוצה])," ",_xlfn.XLOOKUP(INDIRECT(Y108),TeamList[מס"ד],TeamList[שם הקבוצה])),"")</f>
        <v/>
      </c>
    </row>
    <row r="109" spans="2:47" s="4" customFormat="1" ht="13.9" customHeight="1" thickBot="1" x14ac:dyDescent="0.8">
      <c r="B109" s="10"/>
      <c r="C109" s="5"/>
      <c r="D109" s="5"/>
      <c r="E109" s="3"/>
      <c r="F109" s="3"/>
      <c r="G109" s="3"/>
      <c r="H109" s="3"/>
      <c r="I109" s="3"/>
      <c r="J109" s="3"/>
      <c r="K109" s="3"/>
      <c r="L109" s="3"/>
      <c r="M109" s="1"/>
      <c r="N109" s="1"/>
      <c r="O109" s="1"/>
      <c r="P109" s="5"/>
      <c r="Q109" s="4">
        <v>17</v>
      </c>
      <c r="R109" s="4" t="str">
        <f t="shared" si="28"/>
        <v>E40</v>
      </c>
      <c r="S109" s="4" t="str">
        <f t="shared" si="29"/>
        <v>F40</v>
      </c>
      <c r="T109" s="4" t="str">
        <f t="shared" si="30"/>
        <v>G40</v>
      </c>
      <c r="U109" s="4" t="str">
        <f t="shared" si="31"/>
        <v>H40</v>
      </c>
      <c r="V109" s="4" t="str">
        <f t="shared" si="32"/>
        <v>I40</v>
      </c>
      <c r="W109" s="4" t="str">
        <f t="shared" si="33"/>
        <v>J40</v>
      </c>
      <c r="X109" s="4" t="str">
        <f t="shared" si="34"/>
        <v>K40</v>
      </c>
      <c r="Y109" s="4" t="str">
        <f t="shared" si="35"/>
        <v>L40</v>
      </c>
      <c r="AA109" s="232"/>
      <c r="AB109" s="234"/>
      <c r="AC109" s="234"/>
      <c r="AD109" s="84" t="str" cm="1">
        <f t="array" aca="1" ref="AD109" ca="1">IFERROR(_xlfn.XLOOKUP(INDIRECT(R109),TeamList[מס"ד],TeamList[ישוב]),"")</f>
        <v>יבנה</v>
      </c>
      <c r="AE109" s="84" t="str" cm="1">
        <f t="array" aca="1" ref="AE109" ca="1">IFERROR(_xlfn.XLOOKUP(INDIRECT(S109),TeamList[מס"ד],TeamList[ישוב]),"")</f>
        <v>מודיעין-מכבים-רעות</v>
      </c>
      <c r="AF109" s="84" t="str" cm="1">
        <f t="array" aca="1" ref="AF109" ca="1">IFERROR(_xlfn.XLOOKUP(INDIRECT(T109),TeamList[מס"ד],TeamList[ישוב]),"")</f>
        <v>נצרת</v>
      </c>
      <c r="AG109" s="84" t="str" cm="1">
        <f t="array" aca="1" ref="AG109" ca="1">IFERROR(_xlfn.XLOOKUP(INDIRECT(U109),TeamList[מס"ד],TeamList[ישוב]),"")</f>
        <v>כפר סבא</v>
      </c>
      <c r="AH109" s="84" t="str" cm="1">
        <f t="array" aca="1" ref="AH109" ca="1">IFERROR(_xlfn.XLOOKUP(INDIRECT(V109),TeamList[מס"ד],TeamList[ישוב]),"")</f>
        <v/>
      </c>
      <c r="AI109" s="84" t="str" cm="1">
        <f t="array" aca="1" ref="AI109" ca="1">IFERROR(_xlfn.XLOOKUP(INDIRECT(W109),TeamList[מס"ד],TeamList[ישוב]),"")</f>
        <v/>
      </c>
      <c r="AJ109" s="84" t="str" cm="1">
        <f t="array" aca="1" ref="AJ109" ca="1">IFERROR(_xlfn.XLOOKUP(INDIRECT(X109),TeamList[מס"ד],TeamList[ישוב]),"")</f>
        <v/>
      </c>
      <c r="AK109" s="85" t="str" cm="1">
        <f t="array" aca="1" ref="AK109" ca="1">IFERROR(_xlfn.XLOOKUP(INDIRECT(Y109),TeamList[מס"ד],TeamList[ישוב]),"")</f>
        <v/>
      </c>
    </row>
    <row r="110" spans="2:47" s="4" customFormat="1" ht="13.9" customHeight="1" x14ac:dyDescent="0.65">
      <c r="B110" s="10"/>
      <c r="C110" s="5"/>
      <c r="D110" s="5"/>
      <c r="E110" s="3"/>
      <c r="F110" s="3"/>
      <c r="G110" s="3"/>
      <c r="H110" s="3"/>
      <c r="I110" s="3"/>
      <c r="J110" s="3"/>
      <c r="K110" s="3"/>
      <c r="L110" s="3"/>
      <c r="M110" s="1"/>
      <c r="N110" s="1"/>
      <c r="O110" s="1"/>
      <c r="P110" s="5"/>
      <c r="Q110" s="4">
        <v>18</v>
      </c>
      <c r="R110" s="4" t="str">
        <f t="shared" si="28"/>
        <v>E41</v>
      </c>
      <c r="S110" s="4" t="str">
        <f t="shared" si="29"/>
        <v>F41</v>
      </c>
      <c r="T110" s="4" t="str">
        <f t="shared" si="30"/>
        <v>G41</v>
      </c>
      <c r="U110" s="4" t="str">
        <f t="shared" si="31"/>
        <v>H41</v>
      </c>
      <c r="V110" s="4" t="str">
        <f t="shared" si="32"/>
        <v>I41</v>
      </c>
      <c r="W110" s="4" t="str">
        <f t="shared" si="33"/>
        <v>J41</v>
      </c>
      <c r="X110" s="4" t="str">
        <f t="shared" si="34"/>
        <v>K41</v>
      </c>
      <c r="Y110" s="4" t="str">
        <f t="shared" si="35"/>
        <v>L41</v>
      </c>
      <c r="AA110" s="235">
        <f>AA108+1</f>
        <v>46</v>
      </c>
      <c r="AB110" s="237">
        <f>AB108+ORM</f>
        <v>0.62152777777777757</v>
      </c>
      <c r="AC110" s="237">
        <f>AB110+TIME(0,3,0)</f>
        <v>0.62361111111111089</v>
      </c>
      <c r="AD110" s="24" t="str" cm="1">
        <f t="array" aca="1" ref="AD110" ca="1">IFERROR(CONCATENATE(_xlfn.XLOOKUP(INDIRECT(R110),TeamList[מס"ד],TeamList[מס'' הקבוצה])," ",_xlfn.XLOOKUP(INDIRECT(R110),TeamList[מס"ד],TeamList[שם הקבוצה])),"")</f>
        <v/>
      </c>
      <c r="AE110" s="24" t="str" cm="1">
        <f t="array" aca="1" ref="AE110" ca="1">IFERROR(CONCATENATE(_xlfn.XLOOKUP(INDIRECT(S110),TeamList[מס"ד],TeamList[מס'' הקבוצה])," ",_xlfn.XLOOKUP(INDIRECT(S110),TeamList[מס"ד],TeamList[שם הקבוצה])),"")</f>
        <v/>
      </c>
      <c r="AF110" s="24" t="str" cm="1">
        <f t="array" aca="1" ref="AF110" ca="1">IFERROR(CONCATENATE(_xlfn.XLOOKUP(INDIRECT(T110),TeamList[מס"ד],TeamList[מס'' הקבוצה])," ",_xlfn.XLOOKUP(INDIRECT(T110),TeamList[מס"ד],TeamList[שם הקבוצה])),"")</f>
        <v/>
      </c>
      <c r="AG110" s="24" t="str" cm="1">
        <f t="array" aca="1" ref="AG110" ca="1">IFERROR(CONCATENATE(_xlfn.XLOOKUP(INDIRECT(U110),TeamList[מס"ד],TeamList[מס'' הקבוצה])," ",_xlfn.XLOOKUP(INDIRECT(U110),TeamList[מס"ד],TeamList[שם הקבוצה])),"")</f>
        <v/>
      </c>
      <c r="AH110" s="24" t="str" cm="1">
        <f t="array" aca="1" ref="AH110" ca="1">IFERROR(CONCATENATE(_xlfn.XLOOKUP(INDIRECT(V110),TeamList[מס"ד],TeamList[מס'' הקבוצה])," ",_xlfn.XLOOKUP(INDIRECT(V110),TeamList[מס"ד],TeamList[שם הקבוצה])),"")</f>
        <v xml:space="preserve">3340 עמי אסף </v>
      </c>
      <c r="AI110" s="220" t="str" cm="1">
        <f t="array" aca="1" ref="AI110" ca="1">IFERROR(CONCATENATE(_xlfn.XLOOKUP(INDIRECT(W110),TeamList[מס"ד],TeamList[מס'' הקבוצה])," ",_xlfn.XLOOKUP(INDIRECT(W110),TeamList[מס"ד],TeamList[שם הקבוצה])),"")</f>
        <v xml:space="preserve">1300 מרכז מחוננים </v>
      </c>
      <c r="AJ110" s="24" t="str" cm="1">
        <f t="array" aca="1" ref="AJ110" ca="1">IFERROR(CONCATENATE(_xlfn.XLOOKUP(INDIRECT(X110),TeamList[מס"ד],TeamList[מס'' הקבוצה])," ",_xlfn.XLOOKUP(INDIRECT(X110),TeamList[מס"ד],TeamList[שם הקבוצה])),"")</f>
        <v>1099 אפרתה</v>
      </c>
      <c r="AK110" s="72" t="str" cm="1">
        <f t="array" aca="1" ref="AK110" ca="1">IFERROR(CONCATENATE(_xlfn.XLOOKUP(INDIRECT(Y110),TeamList[מס"ד],TeamList[מס'' הקבוצה])," ",_xlfn.XLOOKUP(INDIRECT(Y110),TeamList[מס"ד],TeamList[שם הקבוצה])),"")</f>
        <v xml:space="preserve">3128 נרייה </v>
      </c>
    </row>
    <row r="111" spans="2:47" s="4" customFormat="1" ht="13.9" customHeight="1" thickBot="1" x14ac:dyDescent="0.8">
      <c r="B111" s="2"/>
      <c r="C111" s="5"/>
      <c r="D111" s="5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5"/>
      <c r="Q111" s="4">
        <v>19</v>
      </c>
      <c r="R111" s="4" t="str">
        <f t="shared" si="28"/>
        <v>E41</v>
      </c>
      <c r="S111" s="4" t="str">
        <f t="shared" si="29"/>
        <v>F41</v>
      </c>
      <c r="T111" s="4" t="str">
        <f t="shared" si="30"/>
        <v>G41</v>
      </c>
      <c r="U111" s="4" t="str">
        <f t="shared" si="31"/>
        <v>H41</v>
      </c>
      <c r="V111" s="4" t="str">
        <f t="shared" si="32"/>
        <v>I41</v>
      </c>
      <c r="W111" s="4" t="str">
        <f t="shared" si="33"/>
        <v>J41</v>
      </c>
      <c r="X111" s="4" t="str">
        <f t="shared" si="34"/>
        <v>K41</v>
      </c>
      <c r="Y111" s="4" t="str">
        <f t="shared" si="35"/>
        <v>L41</v>
      </c>
      <c r="AA111" s="236"/>
      <c r="AB111" s="238"/>
      <c r="AC111" s="238"/>
      <c r="AD111" s="86" t="str" cm="1">
        <f t="array" aca="1" ref="AD111" ca="1">IFERROR(_xlfn.XLOOKUP(INDIRECT(R111),TeamList[מס"ד],TeamList[ישוב]),"")</f>
        <v/>
      </c>
      <c r="AE111" s="86" t="str" cm="1">
        <f t="array" aca="1" ref="AE111" ca="1">IFERROR(_xlfn.XLOOKUP(INDIRECT(S111),TeamList[מס"ד],TeamList[ישוב]),"")</f>
        <v/>
      </c>
      <c r="AF111" s="86" t="str" cm="1">
        <f t="array" aca="1" ref="AF111" ca="1">IFERROR(_xlfn.XLOOKUP(INDIRECT(T111),TeamList[מס"ד],TeamList[ישוב]),"")</f>
        <v/>
      </c>
      <c r="AG111" s="86" t="str" cm="1">
        <f t="array" aca="1" ref="AG111" ca="1">IFERROR(_xlfn.XLOOKUP(INDIRECT(U111),TeamList[מס"ד],TeamList[ישוב]),"")</f>
        <v/>
      </c>
      <c r="AH111" s="86" t="str" cm="1">
        <f t="array" aca="1" ref="AH111" ca="1">IFERROR(_xlfn.XLOOKUP(INDIRECT(V111),TeamList[מס"ד],TeamList[ישוב]),"")</f>
        <v>דימונה</v>
      </c>
      <c r="AI111" s="86" t="str" cm="1">
        <f t="array" aca="1" ref="AI111" ca="1">IFERROR(_xlfn.XLOOKUP(INDIRECT(W111),TeamList[מס"ד],TeamList[ישוב]),"")</f>
        <v>עראבה</v>
      </c>
      <c r="AJ111" s="86" t="str" cm="1">
        <f t="array" aca="1" ref="AJ111" ca="1">IFERROR(_xlfn.XLOOKUP(INDIRECT(X111),TeamList[מס"ד],TeamList[ישוב]),"")</f>
        <v>ירושלים</v>
      </c>
      <c r="AK111" s="87" t="str" cm="1">
        <f t="array" aca="1" ref="AK111" ca="1">IFERROR(_xlfn.XLOOKUP(INDIRECT(Y111),TeamList[מס"ד],TeamList[ישוב]),"")</f>
        <v>בית הגדי</v>
      </c>
    </row>
    <row r="112" spans="2:47" s="4" customFormat="1" ht="13.9" customHeight="1" x14ac:dyDescent="0.65">
      <c r="B112" s="2"/>
      <c r="C112" s="5"/>
      <c r="D112" s="5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5"/>
      <c r="Q112" s="4">
        <v>20</v>
      </c>
      <c r="R112" s="4" t="str">
        <f t="shared" si="28"/>
        <v>E42</v>
      </c>
      <c r="S112" s="4" t="str">
        <f t="shared" si="29"/>
        <v>F42</v>
      </c>
      <c r="T112" s="4" t="str">
        <f t="shared" si="30"/>
        <v>G42</v>
      </c>
      <c r="U112" s="4" t="str">
        <f t="shared" si="31"/>
        <v>H42</v>
      </c>
      <c r="V112" s="4" t="str">
        <f t="shared" si="32"/>
        <v>I42</v>
      </c>
      <c r="W112" s="4" t="str">
        <f t="shared" si="33"/>
        <v>J42</v>
      </c>
      <c r="X112" s="4" t="str">
        <f t="shared" si="34"/>
        <v>K42</v>
      </c>
      <c r="Y112" s="4" t="str">
        <f t="shared" si="35"/>
        <v>L42</v>
      </c>
      <c r="AA112" s="231">
        <f>AA110+1</f>
        <v>47</v>
      </c>
      <c r="AB112" s="233">
        <f>AB110+ORM</f>
        <v>0.62499999999999978</v>
      </c>
      <c r="AC112" s="233">
        <f>AB112+TIME(0,3,0)</f>
        <v>0.6270833333333331</v>
      </c>
      <c r="AD112" s="23" t="str" cm="1">
        <f t="array" aca="1" ref="AD112" ca="1">IFERROR(CONCATENATE(_xlfn.XLOOKUP(INDIRECT(R112),TeamList[מס"ד],TeamList[מס'' הקבוצה])," ",_xlfn.XLOOKUP(INDIRECT(R112),TeamList[מס"ד],TeamList[שם הקבוצה])),"")</f>
        <v>3184 תיכון דרך</v>
      </c>
      <c r="AE112" s="23" t="str" cm="1">
        <f t="array" aca="1" ref="AE112" ca="1">IFERROR(CONCATENATE(_xlfn.XLOOKUP(INDIRECT(S112),TeamList[מס"ד],TeamList[מס'' הקבוצה])," ",_xlfn.XLOOKUP(INDIRECT(S112),TeamList[מס"ד],TeamList[שם הקבוצה])),"")</f>
        <v>3294 שלנו</v>
      </c>
      <c r="AF112" s="23" t="str" cm="1">
        <f t="array" aca="1" ref="AF112" ca="1">IFERROR(CONCATENATE(_xlfn.XLOOKUP(INDIRECT(T112),TeamList[מס"ד],TeamList[מס'' הקבוצה])," ",_xlfn.XLOOKUP(INDIRECT(T112),TeamList[מס"ד],TeamList[שם הקבוצה])),"")</f>
        <v>1332 אפרתה</v>
      </c>
      <c r="AG112" s="23" t="str" cm="1">
        <f t="array" aca="1" ref="AG112" ca="1">IFERROR(CONCATENATE(_xlfn.XLOOKUP(INDIRECT(U112),TeamList[מס"ד],TeamList[מס'' הקבוצה])," ",_xlfn.XLOOKUP(INDIRECT(U112),TeamList[מס"ד],TeamList[שם הקבוצה])),"")</f>
        <v xml:space="preserve">2748 מקיף כוכב </v>
      </c>
      <c r="AH112" s="23" t="str" cm="1">
        <f t="array" aca="1" ref="AH112" ca="1">IFERROR(CONCATENATE(_xlfn.XLOOKUP(INDIRECT(V112),TeamList[מס"ד],TeamList[מס'' הקבוצה])," ",_xlfn.XLOOKUP(INDIRECT(V112),TeamList[מס"ד],TeamList[שם הקבוצה])),"")</f>
        <v/>
      </c>
      <c r="AI112" s="23" t="str" cm="1">
        <f t="array" aca="1" ref="AI112" ca="1">IFERROR(CONCATENATE(_xlfn.XLOOKUP(INDIRECT(W112),TeamList[מס"ד],TeamList[מס'' הקבוצה])," ",_xlfn.XLOOKUP(INDIRECT(W112),TeamList[מס"ד],TeamList[שם הקבוצה])),"")</f>
        <v/>
      </c>
      <c r="AJ112" s="23" t="str" cm="1">
        <f t="array" aca="1" ref="AJ112" ca="1">IFERROR(CONCATENATE(_xlfn.XLOOKUP(INDIRECT(X112),TeamList[מס"ד],TeamList[מס'' הקבוצה])," ",_xlfn.XLOOKUP(INDIRECT(X112),TeamList[מס"ד],TeamList[שם הקבוצה])),"")</f>
        <v/>
      </c>
      <c r="AK112" s="73" t="str" cm="1">
        <f t="array" aca="1" ref="AK112" ca="1">IFERROR(CONCATENATE(_xlfn.XLOOKUP(INDIRECT(Y112),TeamList[מס"ד],TeamList[מס'' הקבוצה])," ",_xlfn.XLOOKUP(INDIRECT(Y112),TeamList[מס"ד],TeamList[שם הקבוצה])),"")</f>
        <v/>
      </c>
    </row>
    <row r="113" spans="2:47" s="4" customFormat="1" ht="13.9" customHeight="1" thickBot="1" x14ac:dyDescent="0.8">
      <c r="B113" s="2"/>
      <c r="C113" s="5"/>
      <c r="D113" s="5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5"/>
      <c r="Q113" s="4">
        <v>21</v>
      </c>
      <c r="R113" s="4" t="str">
        <f t="shared" si="28"/>
        <v>E42</v>
      </c>
      <c r="S113" s="4" t="str">
        <f t="shared" si="29"/>
        <v>F42</v>
      </c>
      <c r="T113" s="4" t="str">
        <f t="shared" si="30"/>
        <v>G42</v>
      </c>
      <c r="U113" s="4" t="str">
        <f t="shared" si="31"/>
        <v>H42</v>
      </c>
      <c r="V113" s="4" t="str">
        <f t="shared" si="32"/>
        <v>I42</v>
      </c>
      <c r="W113" s="4" t="str">
        <f t="shared" si="33"/>
        <v>J42</v>
      </c>
      <c r="X113" s="4" t="str">
        <f t="shared" si="34"/>
        <v>K42</v>
      </c>
      <c r="Y113" s="4" t="str">
        <f t="shared" si="35"/>
        <v>L42</v>
      </c>
      <c r="AA113" s="232"/>
      <c r="AB113" s="234"/>
      <c r="AC113" s="234"/>
      <c r="AD113" s="84" t="str" cm="1">
        <f t="array" aca="1" ref="AD113" ca="1">IFERROR(_xlfn.XLOOKUP(INDIRECT(R113),TeamList[מס"ד],TeamList[ישוב]),"")</f>
        <v>ירושלים</v>
      </c>
      <c r="AE113" s="84" t="str" cm="1">
        <f t="array" aca="1" ref="AE113" ca="1">IFERROR(_xlfn.XLOOKUP(INDIRECT(S113),TeamList[מס"ד],TeamList[ישוב]),"")</f>
        <v>תל מונד</v>
      </c>
      <c r="AF113" s="84" t="str" cm="1">
        <f t="array" aca="1" ref="AF113" ca="1">IFERROR(_xlfn.XLOOKUP(INDIRECT(T113),TeamList[מס"ד],TeamList[ישוב]),"")</f>
        <v>ירושלים</v>
      </c>
      <c r="AG113" s="84" t="str" cm="1">
        <f t="array" aca="1" ref="AG113" ca="1">IFERROR(_xlfn.XLOOKUP(INDIRECT(U113),TeamList[מס"ד],TeamList[ישוב]),"")</f>
        <v>כאוכב אבו אל-היג'א</v>
      </c>
      <c r="AH113" s="84" t="str" cm="1">
        <f t="array" aca="1" ref="AH113" ca="1">IFERROR(_xlfn.XLOOKUP(INDIRECT(V113),TeamList[מס"ד],TeamList[ישוב]),"")</f>
        <v/>
      </c>
      <c r="AI113" s="84" t="str" cm="1">
        <f t="array" aca="1" ref="AI113" ca="1">IFERROR(_xlfn.XLOOKUP(INDIRECT(W113),TeamList[מס"ד],TeamList[ישוב]),"")</f>
        <v/>
      </c>
      <c r="AJ113" s="84" t="str" cm="1">
        <f t="array" aca="1" ref="AJ113" ca="1">IFERROR(_xlfn.XLOOKUP(INDIRECT(X113),TeamList[מס"ד],TeamList[ישוב]),"")</f>
        <v/>
      </c>
      <c r="AK113" s="85" t="str" cm="1">
        <f t="array" aca="1" ref="AK113" ca="1">IFERROR(_xlfn.XLOOKUP(INDIRECT(Y113),TeamList[מס"ד],TeamList[ישוב]),"")</f>
        <v/>
      </c>
    </row>
    <row r="114" spans="2:47" s="4" customFormat="1" ht="13.9" customHeight="1" x14ac:dyDescent="0.65">
      <c r="B114" s="2"/>
      <c r="C114" s="5"/>
      <c r="D114" s="5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5"/>
      <c r="Q114" s="4">
        <v>22</v>
      </c>
      <c r="R114" s="4" t="str">
        <f t="shared" si="28"/>
        <v>E43</v>
      </c>
      <c r="S114" s="4" t="str">
        <f t="shared" si="29"/>
        <v>F43</v>
      </c>
      <c r="T114" s="4" t="str">
        <f t="shared" si="30"/>
        <v>G43</v>
      </c>
      <c r="U114" s="4" t="str">
        <f t="shared" si="31"/>
        <v>H43</v>
      </c>
      <c r="V114" s="4" t="str">
        <f t="shared" si="32"/>
        <v>I43</v>
      </c>
      <c r="W114" s="4" t="str">
        <f t="shared" si="33"/>
        <v>J43</v>
      </c>
      <c r="X114" s="4" t="str">
        <f t="shared" si="34"/>
        <v>K43</v>
      </c>
      <c r="Y114" s="4" t="str">
        <f t="shared" si="35"/>
        <v>L43</v>
      </c>
      <c r="AA114" s="235">
        <f>AA112+1</f>
        <v>48</v>
      </c>
      <c r="AB114" s="237">
        <f>AB112+ORM</f>
        <v>0.62847222222222199</v>
      </c>
      <c r="AC114" s="237">
        <f>AB114+TIME(0,3,0)</f>
        <v>0.63055555555555531</v>
      </c>
      <c r="AD114" s="24" t="str" cm="1">
        <f t="array" aca="1" ref="AD114" ca="1">IFERROR(CONCATENATE(_xlfn.XLOOKUP(INDIRECT(R114),TeamList[מס"ד],TeamList[מס'' הקבוצה])," ",_xlfn.XLOOKUP(INDIRECT(R114),TeamList[מס"ד],TeamList[שם הקבוצה])),"")</f>
        <v/>
      </c>
      <c r="AE114" s="24" t="str" cm="1">
        <f t="array" aca="1" ref="AE114" ca="1">IFERROR(CONCATENATE(_xlfn.XLOOKUP(INDIRECT(S114),TeamList[מס"ד],TeamList[מס'' הקבוצה])," ",_xlfn.XLOOKUP(INDIRECT(S114),TeamList[מס"ד],TeamList[שם הקבוצה])),"")</f>
        <v/>
      </c>
      <c r="AF114" s="24" t="str" cm="1">
        <f t="array" aca="1" ref="AF114" ca="1">IFERROR(CONCATENATE(_xlfn.XLOOKUP(INDIRECT(T114),TeamList[מס"ד],TeamList[מס'' הקבוצה])," ",_xlfn.XLOOKUP(INDIRECT(T114),TeamList[מס"ד],TeamList[שם הקבוצה])),"")</f>
        <v/>
      </c>
      <c r="AG114" s="24" t="str" cm="1">
        <f t="array" aca="1" ref="AG114" ca="1">IFERROR(CONCATENATE(_xlfn.XLOOKUP(INDIRECT(U114),TeamList[מס"ד],TeamList[מס'' הקבוצה])," ",_xlfn.XLOOKUP(INDIRECT(U114),TeamList[מס"ד],TeamList[שם הקבוצה])),"")</f>
        <v/>
      </c>
      <c r="AH114" s="24" t="str" cm="1">
        <f t="array" aca="1" ref="AH114" ca="1">IFERROR(CONCATENATE(_xlfn.XLOOKUP(INDIRECT(V114),TeamList[מס"ד],TeamList[מס'' הקבוצה])," ",_xlfn.XLOOKUP(INDIRECT(V114),TeamList[מס"ד],TeamList[שם הקבוצה])),"")</f>
        <v xml:space="preserve">2130 צודות </v>
      </c>
      <c r="AI114" s="24" t="str" cm="1">
        <f t="array" aca="1" ref="AI114" ca="1">IFERROR(CONCATENATE(_xlfn.XLOOKUP(INDIRECT(W114),TeamList[מס"ד],TeamList[מס'' הקבוצה])," ",_xlfn.XLOOKUP(INDIRECT(W114),TeamList[מס"ד],TeamList[שם הקבוצה])),"")</f>
        <v xml:space="preserve">3006 כוכב </v>
      </c>
      <c r="AJ114" s="24" t="str" cm="1">
        <f t="array" aca="1" ref="AJ114" ca="1">IFERROR(CONCATENATE(_xlfn.XLOOKUP(INDIRECT(X114),TeamList[מס"ד],TeamList[מס'' הקבוצה])," ",_xlfn.XLOOKUP(INDIRECT(X114),TeamList[מס"ד],TeamList[שם הקבוצה])),"")</f>
        <v>1720 אגרון</v>
      </c>
      <c r="AK114" s="72" t="str" cm="1">
        <f t="array" aca="1" ref="AK114" ca="1">IFERROR(CONCATENATE(_xlfn.XLOOKUP(INDIRECT(Y114),TeamList[מס"ד],TeamList[מס'' הקבוצה])," ",_xlfn.XLOOKUP(INDIRECT(Y114),TeamList[מס"ד],TeamList[שם הקבוצה])),"")</f>
        <v xml:space="preserve">2843 בארי </v>
      </c>
    </row>
    <row r="115" spans="2:47" s="4" customFormat="1" ht="13.9" customHeight="1" thickBot="1" x14ac:dyDescent="0.8">
      <c r="B115" s="2"/>
      <c r="C115" s="5"/>
      <c r="D115" s="5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5"/>
      <c r="Q115" s="4">
        <v>23</v>
      </c>
      <c r="R115" s="4" t="str">
        <f t="shared" si="28"/>
        <v>E43</v>
      </c>
      <c r="S115" s="4" t="str">
        <f t="shared" si="29"/>
        <v>F43</v>
      </c>
      <c r="T115" s="4" t="str">
        <f t="shared" si="30"/>
        <v>G43</v>
      </c>
      <c r="U115" s="4" t="str">
        <f t="shared" si="31"/>
        <v>H43</v>
      </c>
      <c r="V115" s="4" t="str">
        <f t="shared" si="32"/>
        <v>I43</v>
      </c>
      <c r="W115" s="4" t="str">
        <f t="shared" si="33"/>
        <v>J43</v>
      </c>
      <c r="X115" s="4" t="str">
        <f t="shared" si="34"/>
        <v>K43</v>
      </c>
      <c r="Y115" s="4" t="str">
        <f t="shared" si="35"/>
        <v>L43</v>
      </c>
      <c r="AA115" s="236"/>
      <c r="AB115" s="238"/>
      <c r="AC115" s="238"/>
      <c r="AD115" s="86" t="str" cm="1">
        <f t="array" aca="1" ref="AD115" ca="1">IFERROR(_xlfn.XLOOKUP(INDIRECT(R115),TeamList[מס"ד],TeamList[ישוב]),"")</f>
        <v/>
      </c>
      <c r="AE115" s="86" t="str" cm="1">
        <f t="array" aca="1" ref="AE115" ca="1">IFERROR(_xlfn.XLOOKUP(INDIRECT(S115),TeamList[מס"ד],TeamList[ישוב]),"")</f>
        <v/>
      </c>
      <c r="AF115" s="86" t="str" cm="1">
        <f t="array" aca="1" ref="AF115" ca="1">IFERROR(_xlfn.XLOOKUP(INDIRECT(T115),TeamList[מס"ד],TeamList[ישוב]),"")</f>
        <v/>
      </c>
      <c r="AG115" s="86" t="str" cm="1">
        <f t="array" aca="1" ref="AG115" ca="1">IFERROR(_xlfn.XLOOKUP(INDIRECT(U115),TeamList[מס"ד],TeamList[ישוב]),"")</f>
        <v/>
      </c>
      <c r="AH115" s="86" t="str" cm="1">
        <f t="array" aca="1" ref="AH115" ca="1">IFERROR(_xlfn.XLOOKUP(INDIRECT(V115),TeamList[מס"ד],TeamList[ישוב]),"")</f>
        <v>קרית שמונה</v>
      </c>
      <c r="AI115" s="86" t="str" cm="1">
        <f t="array" aca="1" ref="AI115" ca="1">IFERROR(_xlfn.XLOOKUP(INDIRECT(W115),TeamList[מס"ד],TeamList[ישוב]),"")</f>
        <v>כאוכב אבו אל-היג'א</v>
      </c>
      <c r="AJ115" s="86" t="str" cm="1">
        <f t="array" aca="1" ref="AJ115" ca="1">IFERROR(_xlfn.XLOOKUP(INDIRECT(X115),TeamList[מס"ד],TeamList[ישוב]),"")</f>
        <v>ירושלים</v>
      </c>
      <c r="AK115" s="87" t="str" cm="1">
        <f t="array" aca="1" ref="AK115" ca="1">IFERROR(_xlfn.XLOOKUP(INDIRECT(Y115),TeamList[מס"ד],TeamList[ישוב]),"")</f>
        <v>חיפה</v>
      </c>
    </row>
    <row r="116" spans="2:47" s="4" customFormat="1" ht="13.9" customHeight="1" x14ac:dyDescent="0.65">
      <c r="B116" s="2"/>
      <c r="C116" s="5"/>
      <c r="D116" s="5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5"/>
      <c r="Q116" s="5"/>
      <c r="AA116" s="79"/>
      <c r="AB116" s="71"/>
      <c r="AC116" s="71"/>
      <c r="AD116" s="71"/>
      <c r="AE116" s="71"/>
      <c r="AF116" s="71"/>
      <c r="AG116" s="71"/>
      <c r="AH116" s="71"/>
      <c r="AI116" s="71"/>
      <c r="AJ116" s="71"/>
      <c r="AK116" s="79"/>
    </row>
    <row r="117" spans="2:47" s="4" customFormat="1" ht="29.4" customHeight="1" x14ac:dyDescent="0.65">
      <c r="B117" s="2"/>
      <c r="C117" s="5"/>
      <c r="D117" s="5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5"/>
      <c r="Q117" s="5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47" s="4" customFormat="1" ht="28.9" customHeight="1" x14ac:dyDescent="0.65">
      <c r="B118" s="2"/>
      <c r="C118" s="5"/>
      <c r="D118" s="5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5"/>
      <c r="Q118" s="5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47" s="4" customFormat="1" ht="24.65" customHeight="1" x14ac:dyDescent="0.65">
      <c r="B119" s="2"/>
      <c r="C119" s="5"/>
      <c r="D119" s="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5"/>
      <c r="Q119" s="5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47" s="4" customFormat="1" ht="13.9" customHeight="1" x14ac:dyDescent="0.65">
      <c r="B120" s="2"/>
      <c r="C120" s="5"/>
      <c r="D120" s="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5"/>
      <c r="Q120" s="4">
        <v>0</v>
      </c>
      <c r="R120" s="4" t="str">
        <f>"E"&amp;(INT($Q120/2)+46)</f>
        <v>E46</v>
      </c>
      <c r="S120" s="4" t="str">
        <f>"F"&amp;(INT($Q120/2)+46)</f>
        <v>F46</v>
      </c>
      <c r="T120" s="4" t="str">
        <f>"G"&amp;(INT($Q120/2)+46)</f>
        <v>G46</v>
      </c>
      <c r="U120" s="4" t="str">
        <f>"H"&amp;(INT($Q120/2)+46)</f>
        <v>H46</v>
      </c>
      <c r="V120" s="4" t="str">
        <f>"I"&amp;(INT($Q120/2)+46)</f>
        <v>I46</v>
      </c>
      <c r="W120" s="4" t="str">
        <f>"J"&amp;(INT($Q120/2)+46)</f>
        <v>J46</v>
      </c>
      <c r="X120" s="4" t="str">
        <f>"K"&amp;(INT($Q120/2)+46)</f>
        <v>K46</v>
      </c>
      <c r="Y120" s="4" t="str">
        <f>"L"&amp;(INT($Q120/2)+46)</f>
        <v>L46</v>
      </c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47" s="4" customFormat="1" ht="13.9" customHeight="1" x14ac:dyDescent="0.65">
      <c r="B121" s="2"/>
      <c r="C121" s="5"/>
      <c r="D121" s="5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5"/>
      <c r="Q121" s="4">
        <v>1</v>
      </c>
      <c r="R121" s="4" t="str">
        <f t="shared" ref="R121:R143" si="36">"E"&amp;(INT($Q121/2)+46)</f>
        <v>E46</v>
      </c>
      <c r="S121" s="4" t="str">
        <f t="shared" ref="S121:S143" si="37">"F"&amp;(INT($Q121/2)+46)</f>
        <v>F46</v>
      </c>
      <c r="T121" s="4" t="str">
        <f t="shared" ref="T121:T143" si="38">"G"&amp;(INT($Q121/2)+46)</f>
        <v>G46</v>
      </c>
      <c r="U121" s="4" t="str">
        <f t="shared" ref="U121:U143" si="39">"H"&amp;(INT($Q121/2)+46)</f>
        <v>H46</v>
      </c>
      <c r="V121" s="4" t="str">
        <f t="shared" ref="V121:V143" si="40">"I"&amp;(INT($Q121/2)+46)</f>
        <v>I46</v>
      </c>
      <c r="W121" s="4" t="str">
        <f t="shared" ref="W121:W143" si="41">"J"&amp;(INT($Q121/2)+46)</f>
        <v>J46</v>
      </c>
      <c r="X121" s="4" t="str">
        <f t="shared" ref="X121:X143" si="42">"K"&amp;(INT($Q121/2)+46)</f>
        <v>K46</v>
      </c>
      <c r="Y121" s="4" t="str">
        <f t="shared" ref="Y121:Y143" si="43">"L"&amp;(INT($Q121/2)+46)</f>
        <v>L46</v>
      </c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47" s="4" customFormat="1" ht="13.9" customHeight="1" x14ac:dyDescent="0.65">
      <c r="B122" s="2"/>
      <c r="C122" s="5"/>
      <c r="D122" s="5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5"/>
      <c r="Q122" s="4">
        <v>2</v>
      </c>
      <c r="R122" s="4" t="str">
        <f t="shared" si="36"/>
        <v>E47</v>
      </c>
      <c r="S122" s="4" t="str">
        <f t="shared" si="37"/>
        <v>F47</v>
      </c>
      <c r="T122" s="4" t="str">
        <f t="shared" si="38"/>
        <v>G47</v>
      </c>
      <c r="U122" s="4" t="str">
        <f t="shared" si="39"/>
        <v>H47</v>
      </c>
      <c r="V122" s="4" t="str">
        <f t="shared" si="40"/>
        <v>I47</v>
      </c>
      <c r="W122" s="4" t="str">
        <f t="shared" si="41"/>
        <v>J47</v>
      </c>
      <c r="X122" s="4" t="str">
        <f t="shared" si="42"/>
        <v>K47</v>
      </c>
      <c r="Y122" s="4" t="str">
        <f t="shared" si="43"/>
        <v>L47</v>
      </c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47" s="4" customFormat="1" ht="13.9" customHeight="1" x14ac:dyDescent="0.65">
      <c r="M123" s="1"/>
      <c r="N123" s="1"/>
      <c r="O123" s="1"/>
      <c r="P123" s="5"/>
      <c r="Q123" s="4">
        <v>3</v>
      </c>
      <c r="R123" s="4" t="str">
        <f t="shared" si="36"/>
        <v>E47</v>
      </c>
      <c r="S123" s="4" t="str">
        <f t="shared" si="37"/>
        <v>F47</v>
      </c>
      <c r="T123" s="4" t="str">
        <f t="shared" si="38"/>
        <v>G47</v>
      </c>
      <c r="U123" s="4" t="str">
        <f t="shared" si="39"/>
        <v>H47</v>
      </c>
      <c r="V123" s="4" t="str">
        <f t="shared" si="40"/>
        <v>I47</v>
      </c>
      <c r="W123" s="4" t="str">
        <f t="shared" si="41"/>
        <v>J47</v>
      </c>
      <c r="X123" s="4" t="str">
        <f t="shared" si="42"/>
        <v>K47</v>
      </c>
      <c r="Y123" s="4" t="str">
        <f t="shared" si="43"/>
        <v>L47</v>
      </c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47" s="4" customFormat="1" ht="13.9" customHeight="1" x14ac:dyDescent="0.65">
      <c r="B124" s="2"/>
      <c r="C124" s="5"/>
      <c r="D124" s="5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5"/>
      <c r="Q124" s="4">
        <v>4</v>
      </c>
      <c r="R124" s="4" t="str">
        <f t="shared" si="36"/>
        <v>E48</v>
      </c>
      <c r="S124" s="4" t="str">
        <f t="shared" si="37"/>
        <v>F48</v>
      </c>
      <c r="T124" s="4" t="str">
        <f t="shared" si="38"/>
        <v>G48</v>
      </c>
      <c r="U124" s="4" t="str">
        <f t="shared" si="39"/>
        <v>H48</v>
      </c>
      <c r="V124" s="4" t="str">
        <f t="shared" si="40"/>
        <v>I48</v>
      </c>
      <c r="W124" s="4" t="str">
        <f t="shared" si="41"/>
        <v>J48</v>
      </c>
      <c r="X124" s="4" t="str">
        <f t="shared" si="42"/>
        <v>K48</v>
      </c>
      <c r="Y124" s="4" t="str">
        <f t="shared" si="43"/>
        <v>L48</v>
      </c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2:47" s="4" customFormat="1" ht="13.9" customHeight="1" x14ac:dyDescent="0.65">
      <c r="B125" s="2"/>
      <c r="C125" s="5"/>
      <c r="D125" s="5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5"/>
      <c r="Q125" s="4">
        <v>5</v>
      </c>
      <c r="R125" s="4" t="str">
        <f t="shared" si="36"/>
        <v>E48</v>
      </c>
      <c r="S125" s="4" t="str">
        <f t="shared" si="37"/>
        <v>F48</v>
      </c>
      <c r="T125" s="4" t="str">
        <f t="shared" si="38"/>
        <v>G48</v>
      </c>
      <c r="U125" s="4" t="str">
        <f t="shared" si="39"/>
        <v>H48</v>
      </c>
      <c r="V125" s="4" t="str">
        <f t="shared" si="40"/>
        <v>I48</v>
      </c>
      <c r="W125" s="4" t="str">
        <f t="shared" si="41"/>
        <v>J48</v>
      </c>
      <c r="X125" s="4" t="str">
        <f t="shared" si="42"/>
        <v>K48</v>
      </c>
      <c r="Y125" s="4" t="str">
        <f t="shared" si="43"/>
        <v>L48</v>
      </c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2:47" s="4" customFormat="1" ht="13.9" customHeight="1" x14ac:dyDescent="0.65">
      <c r="B126" s="2"/>
      <c r="C126" s="5"/>
      <c r="D126" s="5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5"/>
      <c r="Q126" s="4">
        <v>6</v>
      </c>
      <c r="R126" s="4" t="str">
        <f t="shared" si="36"/>
        <v>E49</v>
      </c>
      <c r="S126" s="4" t="str">
        <f t="shared" si="37"/>
        <v>F49</v>
      </c>
      <c r="T126" s="4" t="str">
        <f t="shared" si="38"/>
        <v>G49</v>
      </c>
      <c r="U126" s="4" t="str">
        <f t="shared" si="39"/>
        <v>H49</v>
      </c>
      <c r="V126" s="4" t="str">
        <f t="shared" si="40"/>
        <v>I49</v>
      </c>
      <c r="W126" s="4" t="str">
        <f t="shared" si="41"/>
        <v>J49</v>
      </c>
      <c r="X126" s="4" t="str">
        <f t="shared" si="42"/>
        <v>K49</v>
      </c>
      <c r="Y126" s="4" t="str">
        <f t="shared" si="43"/>
        <v>L49</v>
      </c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2:47" s="4" customFormat="1" ht="13.9" customHeight="1" x14ac:dyDescent="0.65">
      <c r="B127" s="2"/>
      <c r="C127" s="5"/>
      <c r="D127" s="5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5"/>
      <c r="Q127" s="4">
        <v>7</v>
      </c>
      <c r="R127" s="4" t="str">
        <f t="shared" si="36"/>
        <v>E49</v>
      </c>
      <c r="S127" s="4" t="str">
        <f t="shared" si="37"/>
        <v>F49</v>
      </c>
      <c r="T127" s="4" t="str">
        <f t="shared" si="38"/>
        <v>G49</v>
      </c>
      <c r="U127" s="4" t="str">
        <f t="shared" si="39"/>
        <v>H49</v>
      </c>
      <c r="V127" s="4" t="str">
        <f t="shared" si="40"/>
        <v>I49</v>
      </c>
      <c r="W127" s="4" t="str">
        <f t="shared" si="41"/>
        <v>J49</v>
      </c>
      <c r="X127" s="4" t="str">
        <f t="shared" si="42"/>
        <v>K49</v>
      </c>
      <c r="Y127" s="4" t="str">
        <f t="shared" si="43"/>
        <v>L49</v>
      </c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2:47" s="4" customFormat="1" ht="13.9" customHeight="1" x14ac:dyDescent="0.65">
      <c r="B128" s="2"/>
      <c r="C128" s="5"/>
      <c r="D128" s="5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5"/>
      <c r="Q128" s="4">
        <v>8</v>
      </c>
      <c r="R128" s="4" t="str">
        <f t="shared" si="36"/>
        <v>E50</v>
      </c>
      <c r="S128" s="4" t="str">
        <f t="shared" si="37"/>
        <v>F50</v>
      </c>
      <c r="T128" s="4" t="str">
        <f t="shared" si="38"/>
        <v>G50</v>
      </c>
      <c r="U128" s="4" t="str">
        <f t="shared" si="39"/>
        <v>H50</v>
      </c>
      <c r="V128" s="4" t="str">
        <f t="shared" si="40"/>
        <v>I50</v>
      </c>
      <c r="W128" s="4" t="str">
        <f t="shared" si="41"/>
        <v>J50</v>
      </c>
      <c r="X128" s="4" t="str">
        <f t="shared" si="42"/>
        <v>K50</v>
      </c>
      <c r="Y128" s="4" t="str">
        <f t="shared" si="43"/>
        <v>L50</v>
      </c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2:47" s="4" customFormat="1" ht="13.9" customHeight="1" x14ac:dyDescent="0.65">
      <c r="B129" s="2"/>
      <c r="C129" s="5"/>
      <c r="D129" s="5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5"/>
      <c r="Q129" s="4">
        <v>9</v>
      </c>
      <c r="R129" s="4" t="str">
        <f t="shared" si="36"/>
        <v>E50</v>
      </c>
      <c r="S129" s="4" t="str">
        <f t="shared" si="37"/>
        <v>F50</v>
      </c>
      <c r="T129" s="4" t="str">
        <f t="shared" si="38"/>
        <v>G50</v>
      </c>
      <c r="U129" s="4" t="str">
        <f t="shared" si="39"/>
        <v>H50</v>
      </c>
      <c r="V129" s="4" t="str">
        <f t="shared" si="40"/>
        <v>I50</v>
      </c>
      <c r="W129" s="4" t="str">
        <f t="shared" si="41"/>
        <v>J50</v>
      </c>
      <c r="X129" s="4" t="str">
        <f t="shared" si="42"/>
        <v>K50</v>
      </c>
      <c r="Y129" s="4" t="str">
        <f t="shared" si="43"/>
        <v>L50</v>
      </c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2:47" s="4" customFormat="1" ht="13.9" customHeight="1" x14ac:dyDescent="0.65">
      <c r="B130" s="2"/>
      <c r="C130" s="5"/>
      <c r="D130" s="5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5"/>
      <c r="Q130" s="4">
        <v>10</v>
      </c>
      <c r="R130" s="4" t="str">
        <f t="shared" si="36"/>
        <v>E51</v>
      </c>
      <c r="S130" s="4" t="str">
        <f t="shared" si="37"/>
        <v>F51</v>
      </c>
      <c r="T130" s="4" t="str">
        <f t="shared" si="38"/>
        <v>G51</v>
      </c>
      <c r="U130" s="4" t="str">
        <f t="shared" si="39"/>
        <v>H51</v>
      </c>
      <c r="V130" s="4" t="str">
        <f t="shared" si="40"/>
        <v>I51</v>
      </c>
      <c r="W130" s="4" t="str">
        <f t="shared" si="41"/>
        <v>J51</v>
      </c>
      <c r="X130" s="4" t="str">
        <f t="shared" si="42"/>
        <v>K51</v>
      </c>
      <c r="Y130" s="4" t="str">
        <f t="shared" si="43"/>
        <v>L51</v>
      </c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2:47" s="4" customFormat="1" ht="13.9" customHeight="1" x14ac:dyDescent="0.65">
      <c r="B131" s="2"/>
      <c r="C131" s="5"/>
      <c r="D131" s="5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5"/>
      <c r="Q131" s="4">
        <v>11</v>
      </c>
      <c r="R131" s="4" t="str">
        <f t="shared" si="36"/>
        <v>E51</v>
      </c>
      <c r="S131" s="4" t="str">
        <f t="shared" si="37"/>
        <v>F51</v>
      </c>
      <c r="T131" s="4" t="str">
        <f t="shared" si="38"/>
        <v>G51</v>
      </c>
      <c r="U131" s="4" t="str">
        <f t="shared" si="39"/>
        <v>H51</v>
      </c>
      <c r="V131" s="4" t="str">
        <f t="shared" si="40"/>
        <v>I51</v>
      </c>
      <c r="W131" s="4" t="str">
        <f t="shared" si="41"/>
        <v>J51</v>
      </c>
      <c r="X131" s="4" t="str">
        <f t="shared" si="42"/>
        <v>K51</v>
      </c>
      <c r="Y131" s="4" t="str">
        <f t="shared" si="43"/>
        <v>L51</v>
      </c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2:47" s="4" customFormat="1" ht="13.9" customHeight="1" x14ac:dyDescent="0.65">
      <c r="B132" s="10"/>
      <c r="C132" s="5"/>
      <c r="D132" s="5"/>
      <c r="E132" s="3"/>
      <c r="F132" s="3"/>
      <c r="G132" s="3"/>
      <c r="H132" s="3"/>
      <c r="I132" s="3"/>
      <c r="J132" s="3"/>
      <c r="K132" s="3"/>
      <c r="L132" s="3"/>
      <c r="M132" s="1"/>
      <c r="N132" s="1"/>
      <c r="O132" s="1"/>
      <c r="P132" s="5"/>
      <c r="Q132" s="4">
        <v>12</v>
      </c>
      <c r="R132" s="4" t="str">
        <f t="shared" si="36"/>
        <v>E52</v>
      </c>
      <c r="S132" s="4" t="str">
        <f t="shared" si="37"/>
        <v>F52</v>
      </c>
      <c r="T132" s="4" t="str">
        <f t="shared" si="38"/>
        <v>G52</v>
      </c>
      <c r="U132" s="4" t="str">
        <f t="shared" si="39"/>
        <v>H52</v>
      </c>
      <c r="V132" s="4" t="str">
        <f t="shared" si="40"/>
        <v>I52</v>
      </c>
      <c r="W132" s="4" t="str">
        <f t="shared" si="41"/>
        <v>J52</v>
      </c>
      <c r="X132" s="4" t="str">
        <f t="shared" si="42"/>
        <v>K52</v>
      </c>
      <c r="Y132" s="4" t="str">
        <f t="shared" si="43"/>
        <v>L52</v>
      </c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2:47" s="4" customFormat="1" ht="13.9" customHeight="1" x14ac:dyDescent="0.65">
      <c r="B133" s="10"/>
      <c r="C133" s="5"/>
      <c r="D133" s="5"/>
      <c r="E133" s="3"/>
      <c r="F133" s="3"/>
      <c r="G133" s="3"/>
      <c r="H133" s="3"/>
      <c r="I133" s="3"/>
      <c r="J133" s="3"/>
      <c r="K133" s="3"/>
      <c r="L133" s="3"/>
      <c r="M133" s="1"/>
      <c r="N133" s="1"/>
      <c r="O133" s="1"/>
      <c r="P133" s="5"/>
      <c r="Q133" s="4">
        <v>13</v>
      </c>
      <c r="R133" s="4" t="str">
        <f t="shared" si="36"/>
        <v>E52</v>
      </c>
      <c r="S133" s="4" t="str">
        <f t="shared" si="37"/>
        <v>F52</v>
      </c>
      <c r="T133" s="4" t="str">
        <f t="shared" si="38"/>
        <v>G52</v>
      </c>
      <c r="U133" s="4" t="str">
        <f t="shared" si="39"/>
        <v>H52</v>
      </c>
      <c r="V133" s="4" t="str">
        <f t="shared" si="40"/>
        <v>I52</v>
      </c>
      <c r="W133" s="4" t="str">
        <f t="shared" si="41"/>
        <v>J52</v>
      </c>
      <c r="X133" s="4" t="str">
        <f t="shared" si="42"/>
        <v>K52</v>
      </c>
      <c r="Y133" s="4" t="str">
        <f t="shared" si="43"/>
        <v>L52</v>
      </c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2:47" ht="13.9" customHeight="1" x14ac:dyDescent="0.65">
      <c r="Q134" s="4">
        <v>14</v>
      </c>
      <c r="R134" s="4" t="str">
        <f t="shared" si="36"/>
        <v>E53</v>
      </c>
      <c r="S134" s="4" t="str">
        <f t="shared" si="37"/>
        <v>F53</v>
      </c>
      <c r="T134" s="4" t="str">
        <f t="shared" si="38"/>
        <v>G53</v>
      </c>
      <c r="U134" s="4" t="str">
        <f t="shared" si="39"/>
        <v>H53</v>
      </c>
      <c r="V134" s="4" t="str">
        <f t="shared" si="40"/>
        <v>I53</v>
      </c>
      <c r="W134" s="4" t="str">
        <f t="shared" si="41"/>
        <v>J53</v>
      </c>
      <c r="X134" s="4" t="str">
        <f t="shared" si="42"/>
        <v>K53</v>
      </c>
      <c r="Y134" s="4" t="str">
        <f t="shared" si="43"/>
        <v>L53</v>
      </c>
      <c r="AA134"/>
      <c r="AB134"/>
      <c r="AC134"/>
      <c r="AD134"/>
      <c r="AE134"/>
      <c r="AF134"/>
      <c r="AG134"/>
      <c r="AH134"/>
      <c r="AI134"/>
      <c r="AJ134"/>
      <c r="AK134"/>
    </row>
    <row r="135" spans="2:47" ht="13.9" customHeight="1" x14ac:dyDescent="0.65">
      <c r="Q135" s="4">
        <v>15</v>
      </c>
      <c r="R135" s="4" t="str">
        <f t="shared" si="36"/>
        <v>E53</v>
      </c>
      <c r="S135" s="4" t="str">
        <f t="shared" si="37"/>
        <v>F53</v>
      </c>
      <c r="T135" s="4" t="str">
        <f t="shared" si="38"/>
        <v>G53</v>
      </c>
      <c r="U135" s="4" t="str">
        <f t="shared" si="39"/>
        <v>H53</v>
      </c>
      <c r="V135" s="4" t="str">
        <f t="shared" si="40"/>
        <v>I53</v>
      </c>
      <c r="W135" s="4" t="str">
        <f t="shared" si="41"/>
        <v>J53</v>
      </c>
      <c r="X135" s="4" t="str">
        <f t="shared" si="42"/>
        <v>K53</v>
      </c>
      <c r="Y135" s="4" t="str">
        <f t="shared" si="43"/>
        <v>L53</v>
      </c>
      <c r="AA135"/>
      <c r="AB135"/>
      <c r="AC135"/>
      <c r="AD135"/>
      <c r="AE135"/>
      <c r="AF135"/>
      <c r="AG135"/>
      <c r="AH135"/>
      <c r="AI135"/>
      <c r="AJ135"/>
      <c r="AK135"/>
    </row>
    <row r="136" spans="2:47" ht="13.9" customHeight="1" x14ac:dyDescent="0.65">
      <c r="Q136" s="4">
        <v>16</v>
      </c>
      <c r="R136" s="4" t="str">
        <f t="shared" si="36"/>
        <v>E54</v>
      </c>
      <c r="S136" s="4" t="str">
        <f t="shared" si="37"/>
        <v>F54</v>
      </c>
      <c r="T136" s="4" t="str">
        <f t="shared" si="38"/>
        <v>G54</v>
      </c>
      <c r="U136" s="4" t="str">
        <f t="shared" si="39"/>
        <v>H54</v>
      </c>
      <c r="V136" s="4" t="str">
        <f t="shared" si="40"/>
        <v>I54</v>
      </c>
      <c r="W136" s="4" t="str">
        <f t="shared" si="41"/>
        <v>J54</v>
      </c>
      <c r="X136" s="4" t="str">
        <f t="shared" si="42"/>
        <v>K54</v>
      </c>
      <c r="Y136" s="4" t="str">
        <f t="shared" si="43"/>
        <v>L54</v>
      </c>
      <c r="AA136"/>
      <c r="AB136"/>
      <c r="AC136"/>
      <c r="AD136"/>
      <c r="AE136"/>
      <c r="AF136"/>
      <c r="AG136"/>
      <c r="AH136"/>
      <c r="AI136"/>
      <c r="AJ136"/>
      <c r="AK136"/>
    </row>
    <row r="137" spans="2:47" ht="13.9" customHeight="1" x14ac:dyDescent="0.65">
      <c r="Q137" s="4">
        <v>17</v>
      </c>
      <c r="R137" s="4" t="str">
        <f t="shared" si="36"/>
        <v>E54</v>
      </c>
      <c r="S137" s="4" t="str">
        <f t="shared" si="37"/>
        <v>F54</v>
      </c>
      <c r="T137" s="4" t="str">
        <f t="shared" si="38"/>
        <v>G54</v>
      </c>
      <c r="U137" s="4" t="str">
        <f t="shared" si="39"/>
        <v>H54</v>
      </c>
      <c r="V137" s="4" t="str">
        <f t="shared" si="40"/>
        <v>I54</v>
      </c>
      <c r="W137" s="4" t="str">
        <f t="shared" si="41"/>
        <v>J54</v>
      </c>
      <c r="X137" s="4" t="str">
        <f t="shared" si="42"/>
        <v>K54</v>
      </c>
      <c r="Y137" s="4" t="str">
        <f t="shared" si="43"/>
        <v>L54</v>
      </c>
      <c r="AA137"/>
      <c r="AB137"/>
      <c r="AC137"/>
      <c r="AD137"/>
      <c r="AE137"/>
      <c r="AF137"/>
      <c r="AG137"/>
      <c r="AH137"/>
      <c r="AI137"/>
      <c r="AJ137"/>
      <c r="AK137"/>
    </row>
    <row r="138" spans="2:47" ht="13.9" customHeight="1" x14ac:dyDescent="0.65">
      <c r="Q138" s="4">
        <v>18</v>
      </c>
      <c r="R138" s="4" t="str">
        <f t="shared" si="36"/>
        <v>E55</v>
      </c>
      <c r="S138" s="4" t="str">
        <f t="shared" si="37"/>
        <v>F55</v>
      </c>
      <c r="T138" s="4" t="str">
        <f t="shared" si="38"/>
        <v>G55</v>
      </c>
      <c r="U138" s="4" t="str">
        <f t="shared" si="39"/>
        <v>H55</v>
      </c>
      <c r="V138" s="4" t="str">
        <f t="shared" si="40"/>
        <v>I55</v>
      </c>
      <c r="W138" s="4" t="str">
        <f t="shared" si="41"/>
        <v>J55</v>
      </c>
      <c r="X138" s="4" t="str">
        <f t="shared" si="42"/>
        <v>K55</v>
      </c>
      <c r="Y138" s="4" t="str">
        <f t="shared" si="43"/>
        <v>L55</v>
      </c>
      <c r="AA138"/>
      <c r="AB138"/>
      <c r="AC138"/>
      <c r="AD138"/>
      <c r="AE138"/>
      <c r="AF138"/>
      <c r="AG138"/>
      <c r="AH138"/>
      <c r="AI138"/>
      <c r="AJ138"/>
      <c r="AK138"/>
    </row>
    <row r="139" spans="2:47" ht="13.9" customHeight="1" x14ac:dyDescent="0.65">
      <c r="Q139" s="4">
        <v>19</v>
      </c>
      <c r="R139" s="4" t="str">
        <f t="shared" si="36"/>
        <v>E55</v>
      </c>
      <c r="S139" s="4" t="str">
        <f t="shared" si="37"/>
        <v>F55</v>
      </c>
      <c r="T139" s="4" t="str">
        <f t="shared" si="38"/>
        <v>G55</v>
      </c>
      <c r="U139" s="4" t="str">
        <f t="shared" si="39"/>
        <v>H55</v>
      </c>
      <c r="V139" s="4" t="str">
        <f t="shared" si="40"/>
        <v>I55</v>
      </c>
      <c r="W139" s="4" t="str">
        <f t="shared" si="41"/>
        <v>J55</v>
      </c>
      <c r="X139" s="4" t="str">
        <f t="shared" si="42"/>
        <v>K55</v>
      </c>
      <c r="Y139" s="4" t="str">
        <f t="shared" si="43"/>
        <v>L55</v>
      </c>
      <c r="AA139"/>
      <c r="AB139"/>
      <c r="AC139"/>
      <c r="AD139"/>
      <c r="AE139"/>
      <c r="AF139"/>
      <c r="AG139"/>
      <c r="AH139"/>
      <c r="AI139"/>
      <c r="AJ139"/>
      <c r="AK139"/>
    </row>
    <row r="140" spans="2:47" ht="13.9" customHeight="1" x14ac:dyDescent="0.65">
      <c r="Q140" s="4">
        <v>20</v>
      </c>
      <c r="R140" s="4" t="str">
        <f t="shared" si="36"/>
        <v>E56</v>
      </c>
      <c r="S140" s="4" t="str">
        <f t="shared" si="37"/>
        <v>F56</v>
      </c>
      <c r="T140" s="4" t="str">
        <f t="shared" si="38"/>
        <v>G56</v>
      </c>
      <c r="U140" s="4" t="str">
        <f t="shared" si="39"/>
        <v>H56</v>
      </c>
      <c r="V140" s="4" t="str">
        <f t="shared" si="40"/>
        <v>I56</v>
      </c>
      <c r="W140" s="4" t="str">
        <f t="shared" si="41"/>
        <v>J56</v>
      </c>
      <c r="X140" s="4" t="str">
        <f t="shared" si="42"/>
        <v>K56</v>
      </c>
      <c r="Y140" s="4" t="str">
        <f t="shared" si="43"/>
        <v>L56</v>
      </c>
      <c r="AA140"/>
      <c r="AB140"/>
      <c r="AC140"/>
      <c r="AD140"/>
      <c r="AE140"/>
      <c r="AF140"/>
      <c r="AG140"/>
      <c r="AH140"/>
      <c r="AI140"/>
      <c r="AJ140"/>
      <c r="AK140"/>
    </row>
    <row r="141" spans="2:47" ht="13.9" customHeight="1" x14ac:dyDescent="0.65">
      <c r="Q141" s="4">
        <v>21</v>
      </c>
      <c r="R141" s="4" t="str">
        <f t="shared" si="36"/>
        <v>E56</v>
      </c>
      <c r="S141" s="4" t="str">
        <f t="shared" si="37"/>
        <v>F56</v>
      </c>
      <c r="T141" s="4" t="str">
        <f t="shared" si="38"/>
        <v>G56</v>
      </c>
      <c r="U141" s="4" t="str">
        <f t="shared" si="39"/>
        <v>H56</v>
      </c>
      <c r="V141" s="4" t="str">
        <f t="shared" si="40"/>
        <v>I56</v>
      </c>
      <c r="W141" s="4" t="str">
        <f t="shared" si="41"/>
        <v>J56</v>
      </c>
      <c r="X141" s="4" t="str">
        <f t="shared" si="42"/>
        <v>K56</v>
      </c>
      <c r="Y141" s="4" t="str">
        <f t="shared" si="43"/>
        <v>L56</v>
      </c>
      <c r="AA141"/>
      <c r="AB141"/>
      <c r="AC141"/>
      <c r="AD141"/>
      <c r="AE141"/>
      <c r="AF141"/>
      <c r="AG141"/>
      <c r="AH141"/>
      <c r="AI141"/>
      <c r="AJ141"/>
      <c r="AK141"/>
    </row>
    <row r="142" spans="2:47" ht="13.9" customHeight="1" x14ac:dyDescent="0.65">
      <c r="Q142" s="4">
        <v>22</v>
      </c>
      <c r="R142" s="4" t="str">
        <f t="shared" si="36"/>
        <v>E57</v>
      </c>
      <c r="S142" s="4" t="str">
        <f t="shared" si="37"/>
        <v>F57</v>
      </c>
      <c r="T142" s="4" t="str">
        <f t="shared" si="38"/>
        <v>G57</v>
      </c>
      <c r="U142" s="4" t="str">
        <f t="shared" si="39"/>
        <v>H57</v>
      </c>
      <c r="V142" s="4" t="str">
        <f t="shared" si="40"/>
        <v>I57</v>
      </c>
      <c r="W142" s="4" t="str">
        <f t="shared" si="41"/>
        <v>J57</v>
      </c>
      <c r="X142" s="4" t="str">
        <f t="shared" si="42"/>
        <v>K57</v>
      </c>
      <c r="Y142" s="4" t="str">
        <f t="shared" si="43"/>
        <v>L57</v>
      </c>
      <c r="AA142"/>
      <c r="AB142"/>
      <c r="AC142"/>
      <c r="AD142"/>
      <c r="AE142"/>
      <c r="AF142"/>
      <c r="AG142"/>
      <c r="AH142"/>
      <c r="AI142"/>
      <c r="AJ142"/>
      <c r="AK142"/>
    </row>
    <row r="143" spans="2:47" ht="13.9" customHeight="1" x14ac:dyDescent="0.65">
      <c r="Q143" s="4">
        <v>23</v>
      </c>
      <c r="R143" s="4" t="str">
        <f t="shared" si="36"/>
        <v>E57</v>
      </c>
      <c r="S143" s="4" t="str">
        <f t="shared" si="37"/>
        <v>F57</v>
      </c>
      <c r="T143" s="4" t="str">
        <f t="shared" si="38"/>
        <v>G57</v>
      </c>
      <c r="U143" s="4" t="str">
        <f t="shared" si="39"/>
        <v>H57</v>
      </c>
      <c r="V143" s="4" t="str">
        <f t="shared" si="40"/>
        <v>I57</v>
      </c>
      <c r="W143" s="4" t="str">
        <f t="shared" si="41"/>
        <v>J57</v>
      </c>
      <c r="X143" s="4" t="str">
        <f t="shared" si="42"/>
        <v>K57</v>
      </c>
      <c r="Y143" s="4" t="str">
        <f t="shared" si="43"/>
        <v>L57</v>
      </c>
      <c r="AA143"/>
      <c r="AB143"/>
      <c r="AC143"/>
      <c r="AD143"/>
      <c r="AE143"/>
      <c r="AF143"/>
      <c r="AG143"/>
      <c r="AH143"/>
      <c r="AI143"/>
      <c r="AJ143"/>
      <c r="AK143"/>
    </row>
    <row r="144" spans="2:47" ht="13.9" customHeight="1" x14ac:dyDescent="0.65">
      <c r="AA144"/>
      <c r="AB144"/>
      <c r="AC144"/>
      <c r="AD144"/>
      <c r="AE144"/>
      <c r="AF144"/>
      <c r="AG144"/>
      <c r="AH144"/>
      <c r="AI144"/>
      <c r="AJ144"/>
      <c r="AK144"/>
    </row>
    <row r="145" spans="27:37" ht="13.9" customHeight="1" x14ac:dyDescent="0.65">
      <c r="AA145"/>
      <c r="AB145"/>
      <c r="AC145"/>
      <c r="AD145"/>
      <c r="AE145"/>
      <c r="AF145"/>
      <c r="AG145"/>
      <c r="AH145"/>
      <c r="AI145"/>
      <c r="AJ145"/>
      <c r="AK145"/>
    </row>
    <row r="146" spans="27:37" ht="13.9" customHeight="1" x14ac:dyDescent="0.65">
      <c r="AA146"/>
      <c r="AB146"/>
      <c r="AC146"/>
      <c r="AD146"/>
      <c r="AE146"/>
      <c r="AF146"/>
      <c r="AG146"/>
      <c r="AH146"/>
      <c r="AI146"/>
      <c r="AJ146"/>
      <c r="AK146"/>
    </row>
    <row r="147" spans="27:37" ht="13.9" customHeight="1" x14ac:dyDescent="0.65"/>
    <row r="148" spans="27:37" ht="13.9" customHeight="1" x14ac:dyDescent="0.65"/>
    <row r="149" spans="27:37" ht="13.9" customHeight="1" x14ac:dyDescent="0.65"/>
    <row r="150" spans="27:37" ht="13.9" customHeight="1" x14ac:dyDescent="0.65"/>
    <row r="151" spans="27:37" ht="13.9" customHeight="1" x14ac:dyDescent="0.65"/>
    <row r="152" spans="27:37" ht="13.9" customHeight="1" x14ac:dyDescent="0.65"/>
    <row r="153" spans="27:37" ht="13.9" customHeight="1" x14ac:dyDescent="0.65"/>
    <row r="154" spans="27:37" ht="13.9" customHeight="1" x14ac:dyDescent="0.65"/>
    <row r="155" spans="27:37" ht="13.9" customHeight="1" x14ac:dyDescent="0.65"/>
    <row r="156" spans="27:37" ht="13.9" customHeight="1" x14ac:dyDescent="0.65"/>
    <row r="157" spans="27:37" ht="13.9" customHeight="1" x14ac:dyDescent="0.65"/>
    <row r="158" spans="27:37" ht="13.9" customHeight="1" x14ac:dyDescent="0.65"/>
    <row r="159" spans="27:37" ht="13.9" customHeight="1" x14ac:dyDescent="0.65"/>
    <row r="160" spans="27:37" ht="13.9" customHeight="1" x14ac:dyDescent="0.65"/>
    <row r="161" ht="13.9" customHeight="1" x14ac:dyDescent="0.65"/>
    <row r="162" ht="13.9" customHeight="1" x14ac:dyDescent="0.65"/>
    <row r="163" ht="13.9" customHeight="1" x14ac:dyDescent="0.65"/>
    <row r="164" ht="13.9" customHeight="1" x14ac:dyDescent="0.65"/>
    <row r="165" ht="13.9" customHeight="1" x14ac:dyDescent="0.65"/>
    <row r="166" ht="13.9" customHeight="1" x14ac:dyDescent="0.65"/>
    <row r="167" ht="13.9" customHeight="1" x14ac:dyDescent="0.65"/>
    <row r="168" ht="13.9" customHeight="1" x14ac:dyDescent="0.65"/>
    <row r="169" ht="13.9" customHeight="1" x14ac:dyDescent="0.65"/>
    <row r="170" ht="13.9" customHeight="1" x14ac:dyDescent="0.65"/>
    <row r="171" ht="13.9" customHeight="1" x14ac:dyDescent="0.65"/>
    <row r="172" ht="13.9" customHeight="1" x14ac:dyDescent="0.65"/>
    <row r="173" ht="13.9" customHeight="1" x14ac:dyDescent="0.65"/>
    <row r="174" ht="13.9" customHeight="1" x14ac:dyDescent="0.65"/>
    <row r="175" ht="13.9" customHeight="1" x14ac:dyDescent="0.65"/>
    <row r="176" ht="13.9" customHeight="1" x14ac:dyDescent="0.65"/>
    <row r="177" ht="13.9" customHeight="1" x14ac:dyDescent="0.65"/>
    <row r="178" ht="13.9" customHeight="1" x14ac:dyDescent="0.65"/>
    <row r="179" ht="13.9" customHeight="1" x14ac:dyDescent="0.65"/>
    <row r="180" ht="13.9" customHeight="1" x14ac:dyDescent="0.65"/>
    <row r="181" ht="13.9" customHeight="1" x14ac:dyDescent="0.65"/>
    <row r="182" ht="13.9" customHeight="1" x14ac:dyDescent="0.65"/>
    <row r="183" ht="13.9" customHeight="1" x14ac:dyDescent="0.65"/>
    <row r="184" ht="13.9" customHeight="1" x14ac:dyDescent="0.65"/>
    <row r="185" ht="13.9" customHeight="1" x14ac:dyDescent="0.65"/>
    <row r="186" ht="13.9" customHeight="1" x14ac:dyDescent="0.65"/>
    <row r="187" ht="13.9" customHeight="1" x14ac:dyDescent="0.65"/>
    <row r="188" ht="13.9" customHeight="1" x14ac:dyDescent="0.65"/>
    <row r="189" ht="13.9" customHeight="1" x14ac:dyDescent="0.65"/>
    <row r="190" ht="13.9" customHeight="1" x14ac:dyDescent="0.65"/>
    <row r="191" ht="13.9" customHeight="1" x14ac:dyDescent="0.65"/>
    <row r="192" ht="13.9" customHeight="1" x14ac:dyDescent="0.65"/>
    <row r="193" ht="13.9" customHeight="1" x14ac:dyDescent="0.65"/>
    <row r="194" ht="13.9" customHeight="1" x14ac:dyDescent="0.65"/>
    <row r="195" ht="13.9" customHeight="1" x14ac:dyDescent="0.65"/>
    <row r="196" ht="13.9" customHeight="1" x14ac:dyDescent="0.65"/>
    <row r="197" ht="13.9" customHeight="1" x14ac:dyDescent="0.65"/>
    <row r="198" ht="13.9" customHeight="1" x14ac:dyDescent="0.65"/>
    <row r="199" ht="13.9" customHeight="1" x14ac:dyDescent="0.65"/>
    <row r="200" ht="13.9" customHeight="1" x14ac:dyDescent="0.65"/>
    <row r="201" ht="13.9" customHeight="1" x14ac:dyDescent="0.65"/>
    <row r="202" ht="13.9" customHeight="1" x14ac:dyDescent="0.65"/>
    <row r="203" ht="13.9" customHeight="1" x14ac:dyDescent="0.65"/>
    <row r="204" ht="13.9" customHeight="1" x14ac:dyDescent="0.65"/>
    <row r="205" ht="13.9" customHeight="1" x14ac:dyDescent="0.65"/>
    <row r="206" ht="13.9" customHeight="1" x14ac:dyDescent="0.65"/>
    <row r="207" ht="13.9" customHeight="1" x14ac:dyDescent="0.65"/>
    <row r="208" ht="13.9" customHeight="1" x14ac:dyDescent="0.65"/>
    <row r="209" ht="13.9" customHeight="1" x14ac:dyDescent="0.65"/>
    <row r="210" ht="13.9" customHeight="1" x14ac:dyDescent="0.65"/>
    <row r="211" ht="13.9" customHeight="1" x14ac:dyDescent="0.65"/>
    <row r="212" ht="13.9" customHeight="1" x14ac:dyDescent="0.65"/>
    <row r="213" ht="13.9" customHeight="1" x14ac:dyDescent="0.65"/>
    <row r="214" ht="13.9" customHeight="1" x14ac:dyDescent="0.65"/>
    <row r="215" ht="13.9" customHeight="1" x14ac:dyDescent="0.65"/>
    <row r="216" ht="13.9" customHeight="1" x14ac:dyDescent="0.65"/>
    <row r="217" ht="13.9" customHeight="1" x14ac:dyDescent="0.65"/>
    <row r="218" ht="13.9" customHeight="1" x14ac:dyDescent="0.65"/>
    <row r="219" ht="13.9" customHeight="1" x14ac:dyDescent="0.65"/>
    <row r="220" ht="13.9" customHeight="1" x14ac:dyDescent="0.65"/>
    <row r="221" ht="13.9" customHeight="1" x14ac:dyDescent="0.65"/>
    <row r="222" ht="13.9" customHeight="1" x14ac:dyDescent="0.65"/>
    <row r="223" ht="13.9" customHeight="1" x14ac:dyDescent="0.65"/>
    <row r="224" ht="13.9" customHeight="1" x14ac:dyDescent="0.65"/>
    <row r="225" ht="13.9" customHeight="1" x14ac:dyDescent="0.65"/>
    <row r="226" ht="13.9" customHeight="1" x14ac:dyDescent="0.65"/>
    <row r="227" ht="13.9" customHeight="1" x14ac:dyDescent="0.65"/>
    <row r="228" ht="13.9" customHeight="1" x14ac:dyDescent="0.65"/>
    <row r="229" ht="13.9" customHeight="1" x14ac:dyDescent="0.65"/>
    <row r="230" ht="13.9" customHeight="1" x14ac:dyDescent="0.65"/>
    <row r="231" ht="13.9" customHeight="1" x14ac:dyDescent="0.65"/>
    <row r="232" ht="13.9" customHeight="1" x14ac:dyDescent="0.65"/>
    <row r="233" ht="13.9" customHeight="1" x14ac:dyDescent="0.65"/>
    <row r="234" ht="13.9" customHeight="1" x14ac:dyDescent="0.65"/>
    <row r="235" ht="13.9" customHeight="1" x14ac:dyDescent="0.65"/>
    <row r="236" ht="13.9" customHeight="1" x14ac:dyDescent="0.65"/>
    <row r="237" ht="13.9" customHeight="1" x14ac:dyDescent="0.65"/>
    <row r="238" ht="13.9" customHeight="1" x14ac:dyDescent="0.65"/>
    <row r="239" ht="13.9" customHeight="1" x14ac:dyDescent="0.65"/>
    <row r="240" ht="13.9" customHeight="1" x14ac:dyDescent="0.65"/>
    <row r="241" ht="13.9" customHeight="1" x14ac:dyDescent="0.65"/>
    <row r="242" ht="13.9" customHeight="1" x14ac:dyDescent="0.65"/>
  </sheetData>
  <mergeCells count="157">
    <mergeCell ref="AJ1:AK1"/>
    <mergeCell ref="AJ30:AK30"/>
    <mergeCell ref="AJ60:AK60"/>
    <mergeCell ref="AJ89:AK89"/>
    <mergeCell ref="AA45:AA46"/>
    <mergeCell ref="AB45:AB46"/>
    <mergeCell ref="AA102:AA103"/>
    <mergeCell ref="AB102:AB103"/>
    <mergeCell ref="AA104:AA105"/>
    <mergeCell ref="AB104:AB105"/>
    <mergeCell ref="AA35:AA36"/>
    <mergeCell ref="AB35:AB36"/>
    <mergeCell ref="AA37:AA38"/>
    <mergeCell ref="AB37:AB38"/>
    <mergeCell ref="AA39:AA40"/>
    <mergeCell ref="AB39:AB40"/>
    <mergeCell ref="AA41:AA42"/>
    <mergeCell ref="AB41:AB42"/>
    <mergeCell ref="AA43:AA44"/>
    <mergeCell ref="AB43:AB44"/>
    <mergeCell ref="AA18:AA19"/>
    <mergeCell ref="AA31:AK31"/>
    <mergeCell ref="AA33:AA34"/>
    <mergeCell ref="AB33:AB34"/>
    <mergeCell ref="AA75:AA76"/>
    <mergeCell ref="AB75:AB76"/>
    <mergeCell ref="AA73:AA74"/>
    <mergeCell ref="AA61:AK61"/>
    <mergeCell ref="AA63:AA64"/>
    <mergeCell ref="AB63:AB64"/>
    <mergeCell ref="AA65:AA66"/>
    <mergeCell ref="AB65:AB66"/>
    <mergeCell ref="AA51:AA52"/>
    <mergeCell ref="AB51:AB52"/>
    <mergeCell ref="AA53:AA54"/>
    <mergeCell ref="AB53:AB54"/>
    <mergeCell ref="AC65:AC66"/>
    <mergeCell ref="AC53:AC54"/>
    <mergeCell ref="AC63:AC64"/>
    <mergeCell ref="AC51:AC52"/>
    <mergeCell ref="AA55:AA56"/>
    <mergeCell ref="AB55:AB56"/>
    <mergeCell ref="AC55:AC56"/>
    <mergeCell ref="AA57:AK57"/>
    <mergeCell ref="AA47:AA48"/>
    <mergeCell ref="AB47:AB48"/>
    <mergeCell ref="AA49:AA50"/>
    <mergeCell ref="AB49:AB50"/>
    <mergeCell ref="AC6:AC7"/>
    <mergeCell ref="AC8:AC9"/>
    <mergeCell ref="AC10:AC11"/>
    <mergeCell ref="AB24:AB25"/>
    <mergeCell ref="AB18:AB19"/>
    <mergeCell ref="AA20:AA21"/>
    <mergeCell ref="AB20:AB21"/>
    <mergeCell ref="AA22:AA23"/>
    <mergeCell ref="AC22:AC23"/>
    <mergeCell ref="AC24:AC25"/>
    <mergeCell ref="AC12:AC13"/>
    <mergeCell ref="AC14:AC15"/>
    <mergeCell ref="AC16:AC17"/>
    <mergeCell ref="AC18:AC19"/>
    <mergeCell ref="AC20:AC21"/>
    <mergeCell ref="AA26:AA27"/>
    <mergeCell ref="AB26:AB27"/>
    <mergeCell ref="AC26:AC27"/>
    <mergeCell ref="AA28:AK28"/>
    <mergeCell ref="AA24:AA25"/>
    <mergeCell ref="B2:L2"/>
    <mergeCell ref="P2:Y2"/>
    <mergeCell ref="AB22:AB23"/>
    <mergeCell ref="AA4:AA5"/>
    <mergeCell ref="AB4:AB5"/>
    <mergeCell ref="AA6:AA7"/>
    <mergeCell ref="AB6:AB7"/>
    <mergeCell ref="AB8:AB9"/>
    <mergeCell ref="AA8:AA9"/>
    <mergeCell ref="AB10:AB11"/>
    <mergeCell ref="AA10:AA11"/>
    <mergeCell ref="AA12:AA13"/>
    <mergeCell ref="AB12:AB13"/>
    <mergeCell ref="AA14:AA15"/>
    <mergeCell ref="AB14:AB15"/>
    <mergeCell ref="AA16:AA17"/>
    <mergeCell ref="AB16:AB17"/>
    <mergeCell ref="AA2:AK2"/>
    <mergeCell ref="AC4:AC5"/>
    <mergeCell ref="AC35:AC36"/>
    <mergeCell ref="AC37:AC38"/>
    <mergeCell ref="AC39:AC40"/>
    <mergeCell ref="AC41:AC42"/>
    <mergeCell ref="AC33:AC34"/>
    <mergeCell ref="AB73:AB74"/>
    <mergeCell ref="AA77:AA78"/>
    <mergeCell ref="AB77:AB78"/>
    <mergeCell ref="AA67:AA68"/>
    <mergeCell ref="AB67:AB68"/>
    <mergeCell ref="AA69:AA70"/>
    <mergeCell ref="AB69:AB70"/>
    <mergeCell ref="AA71:AA72"/>
    <mergeCell ref="AB71:AB72"/>
    <mergeCell ref="AC67:AC68"/>
    <mergeCell ref="AC69:AC70"/>
    <mergeCell ref="AC71:AC72"/>
    <mergeCell ref="AC73:AC74"/>
    <mergeCell ref="AC75:AC76"/>
    <mergeCell ref="AC77:AC78"/>
    <mergeCell ref="AC43:AC44"/>
    <mergeCell ref="AC45:AC46"/>
    <mergeCell ref="AC47:AC48"/>
    <mergeCell ref="AC49:AC50"/>
    <mergeCell ref="AC79:AC80"/>
    <mergeCell ref="AC81:AC82"/>
    <mergeCell ref="AC83:AC84"/>
    <mergeCell ref="AA90:AK90"/>
    <mergeCell ref="AA92:AA93"/>
    <mergeCell ref="AB92:AB93"/>
    <mergeCell ref="AA94:AA95"/>
    <mergeCell ref="AA79:AA80"/>
    <mergeCell ref="AB79:AB80"/>
    <mergeCell ref="AB94:AB95"/>
    <mergeCell ref="AC92:AC93"/>
    <mergeCell ref="AC94:AC95"/>
    <mergeCell ref="AA81:AA82"/>
    <mergeCell ref="AB81:AB82"/>
    <mergeCell ref="AA83:AA84"/>
    <mergeCell ref="AB83:AB84"/>
    <mergeCell ref="AA85:AA86"/>
    <mergeCell ref="AB85:AB86"/>
    <mergeCell ref="AC85:AC86"/>
    <mergeCell ref="AA87:AK87"/>
    <mergeCell ref="AC110:AC111"/>
    <mergeCell ref="AC112:AC113"/>
    <mergeCell ref="AA106:AA107"/>
    <mergeCell ref="AB106:AB107"/>
    <mergeCell ref="AA114:AA115"/>
    <mergeCell ref="AB114:AB115"/>
    <mergeCell ref="AC114:AC115"/>
    <mergeCell ref="AA110:AA111"/>
    <mergeCell ref="AB110:AB111"/>
    <mergeCell ref="AA112:AA113"/>
    <mergeCell ref="AB112:AB113"/>
    <mergeCell ref="AA96:AA97"/>
    <mergeCell ref="AB96:AB97"/>
    <mergeCell ref="AA98:AA99"/>
    <mergeCell ref="AB98:AB99"/>
    <mergeCell ref="AA100:AA101"/>
    <mergeCell ref="AB100:AB101"/>
    <mergeCell ref="AC96:AC97"/>
    <mergeCell ref="AA108:AA109"/>
    <mergeCell ref="AB108:AB109"/>
    <mergeCell ref="AC98:AC99"/>
    <mergeCell ref="AC100:AC101"/>
    <mergeCell ref="AC102:AC103"/>
    <mergeCell ref="AC104:AC105"/>
    <mergeCell ref="AC106:AC107"/>
    <mergeCell ref="AC108:AC109"/>
  </mergeCells>
  <pageMargins left="0.19" right="0.31" top="0.35" bottom="0.37" header="0.3" footer="0.3"/>
  <pageSetup paperSize="9" orientation="landscape" r:id="rId1"/>
  <rowBreaks count="4" manualBreakCount="4">
    <brk id="29" min="26" max="36" man="1"/>
    <brk id="58" min="26" max="36" man="1"/>
    <brk id="88" min="26" max="36" man="1"/>
    <brk id="116" min="26" max="36" man="1"/>
  </rowBreaks>
  <ignoredErrors>
    <ignoredError sqref="AD34" formula="1"/>
  </ignoredErrors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C7C4-8615-4443-AE10-AEEA78C8D29B}">
  <sheetPr codeName="Sheet8">
    <pageSetUpPr fitToPage="1"/>
  </sheetPr>
  <dimension ref="A1:X73"/>
  <sheetViews>
    <sheetView rightToLeft="1" workbookViewId="0">
      <selection activeCell="AG5" sqref="AG5"/>
    </sheetView>
  </sheetViews>
  <sheetFormatPr defaultRowHeight="14.5" x14ac:dyDescent="0.7"/>
  <cols>
    <col min="1" max="1" width="6" style="33" customWidth="1"/>
    <col min="2" max="3" width="7.70703125" style="32" customWidth="1"/>
    <col min="4" max="11" width="8.4140625" customWidth="1"/>
    <col min="13" max="13" width="6" style="33" customWidth="1"/>
    <col min="14" max="15" width="7.70703125" style="32" customWidth="1"/>
    <col min="16" max="23" width="8.4140625" customWidth="1"/>
    <col min="24" max="24" width="6" customWidth="1"/>
  </cols>
  <sheetData>
    <row r="1" spans="1:24" s="4" customFormat="1" ht="24.65" customHeight="1" thickBot="1" x14ac:dyDescent="0.8">
      <c r="A1" s="251" t="s">
        <v>39</v>
      </c>
      <c r="B1" s="251"/>
      <c r="C1" s="251"/>
      <c r="D1" s="251"/>
      <c r="E1" s="251"/>
      <c r="F1" s="251" t="str">
        <f>'רשימת הקבוצות'!C1</f>
        <v>מוקדמות מס'</v>
      </c>
      <c r="G1" s="251"/>
      <c r="H1" s="78" t="str">
        <f>'רשימת הקבוצות'!D1</f>
        <v>4   בית אדום</v>
      </c>
      <c r="I1" s="222"/>
      <c r="J1" s="244">
        <f>'רשימת הקבוצות'!E1</f>
        <v>44965</v>
      </c>
      <c r="K1" s="244"/>
      <c r="L1" s="79"/>
      <c r="M1" s="251" t="s">
        <v>39</v>
      </c>
      <c r="N1" s="251"/>
      <c r="O1" s="251"/>
      <c r="P1" s="251"/>
      <c r="Q1" s="251"/>
      <c r="R1" s="251" t="str">
        <f>'רשימת הקבוצות'!C1</f>
        <v>מוקדמות מס'</v>
      </c>
      <c r="S1" s="251"/>
      <c r="T1" s="78" t="str">
        <f>'רשימת הקבוצות'!D1</f>
        <v>4   בית אדום</v>
      </c>
      <c r="U1" s="222"/>
      <c r="V1" s="244">
        <f>'רשימת הקבוצות'!E1</f>
        <v>44965</v>
      </c>
      <c r="W1" s="244"/>
      <c r="X1"/>
    </row>
    <row r="2" spans="1:24" s="4" customFormat="1" ht="36" customHeight="1" thickTop="1" thickBot="1" x14ac:dyDescent="0.85">
      <c r="A2" s="249" t="s">
        <v>188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M2" s="250" t="s">
        <v>189</v>
      </c>
      <c r="N2" s="250"/>
      <c r="O2" s="250"/>
      <c r="P2" s="250"/>
      <c r="Q2" s="250"/>
      <c r="R2" s="250"/>
      <c r="S2" s="250"/>
      <c r="T2" s="250"/>
      <c r="U2" s="250"/>
      <c r="V2" s="250"/>
      <c r="W2" s="250"/>
      <c r="X2"/>
    </row>
    <row r="3" spans="1:24" s="6" customFormat="1" ht="18" customHeight="1" thickBot="1" x14ac:dyDescent="0.8">
      <c r="A3" s="102" t="s">
        <v>30</v>
      </c>
      <c r="B3" s="103" t="s">
        <v>22</v>
      </c>
      <c r="C3" s="103" t="s">
        <v>23</v>
      </c>
      <c r="D3" s="104" t="str">
        <f>'תכנית לשופט זירה ראשי'!AD3</f>
        <v>1 אדום</v>
      </c>
      <c r="E3" s="104" t="str">
        <f>'תכנית לשופט זירה ראשי'!AE3</f>
        <v>2 אדום</v>
      </c>
      <c r="F3" s="104" t="str">
        <f>'תכנית לשופט זירה ראשי'!AF3</f>
        <v>3 אדום</v>
      </c>
      <c r="G3" s="104" t="str">
        <f>'תכנית לשופט זירה ראשי'!AG3</f>
        <v>4 אדום</v>
      </c>
      <c r="H3" s="104" t="str">
        <f>'תכנית לשופט זירה ראשי'!AH3</f>
        <v>5 אדום</v>
      </c>
      <c r="I3" s="104" t="str">
        <f>'תכנית לשופט זירה ראשי'!AI3</f>
        <v>6 אדום</v>
      </c>
      <c r="J3" s="104" t="str">
        <f>'תכנית לשופט זירה ראשי'!AJ3</f>
        <v>7 אדום</v>
      </c>
      <c r="K3" s="105" t="str">
        <f>'תכנית לשופט זירה ראשי'!AK3</f>
        <v>8 אדום</v>
      </c>
      <c r="L3" s="106"/>
      <c r="M3" s="102" t="s">
        <v>30</v>
      </c>
      <c r="N3" s="103" t="s">
        <v>36</v>
      </c>
      <c r="O3" s="103" t="s">
        <v>23</v>
      </c>
      <c r="P3" s="104" t="str">
        <f t="shared" ref="P3:W3" si="0">D18</f>
        <v>1 אדום</v>
      </c>
      <c r="Q3" s="104" t="str">
        <f t="shared" si="0"/>
        <v>2 אדום</v>
      </c>
      <c r="R3" s="104" t="str">
        <f t="shared" si="0"/>
        <v>3 אדום</v>
      </c>
      <c r="S3" s="104" t="str">
        <f t="shared" si="0"/>
        <v>4 אדום</v>
      </c>
      <c r="T3" s="104" t="str">
        <f t="shared" si="0"/>
        <v>5 אדום</v>
      </c>
      <c r="U3" s="104" t="str">
        <f t="shared" si="0"/>
        <v>6 אדום</v>
      </c>
      <c r="V3" s="104" t="str">
        <f t="shared" si="0"/>
        <v>7 אדום</v>
      </c>
      <c r="W3" s="105" t="str">
        <f t="shared" si="0"/>
        <v>8 אדום</v>
      </c>
      <c r="X3"/>
    </row>
    <row r="4" spans="1:24" ht="18" customHeight="1" x14ac:dyDescent="0.65">
      <c r="A4" s="111">
        <v>1</v>
      </c>
      <c r="B4" s="112">
        <f>START</f>
        <v>0.36458333333333331</v>
      </c>
      <c r="C4" s="113">
        <f>B4+TIME(0,3,0)</f>
        <v>0.36666666666666664</v>
      </c>
      <c r="D4" s="114">
        <f ca="1">IFERROR(_xlfn.XLOOKUP('תכנית לשופט זירה ראשי'!R4,TeamList[מס"ד],TeamList[מס'' הקבוצה]),"")</f>
        <v>2978</v>
      </c>
      <c r="E4" s="114">
        <f ca="1">IFERROR(_xlfn.XLOOKUP('תכנית לשופט זירה ראשי'!S4,TeamList[מס"ד],TeamList[מס'' הקבוצה]),"")</f>
        <v>515</v>
      </c>
      <c r="F4" s="114">
        <f ca="1">IFERROR(_xlfn.XLOOKUP('תכנית לשופט זירה ראשי'!T4,TeamList[מס"ד],TeamList[מס'' הקבוצה]),"")</f>
        <v>1083</v>
      </c>
      <c r="G4" s="114">
        <f ca="1">IFERROR(_xlfn.XLOOKUP('תכנית לשופט זירה ראשי'!U4,TeamList[מס"ד],TeamList[מס'' הקבוצה]),"")</f>
        <v>3181</v>
      </c>
      <c r="H4" s="114" t="str">
        <f ca="1">IFERROR(_xlfn.XLOOKUP('תכנית לשופט זירה ראשי'!V4,TeamList[מס"ד],TeamList[מס'' הקבוצה]),"")</f>
        <v/>
      </c>
      <c r="I4" s="114" t="str">
        <f ca="1">IFERROR(_xlfn.XLOOKUP('תכנית לשופט זירה ראשי'!W4,TeamList[מס"ד],TeamList[מס'' הקבוצה]),"")</f>
        <v/>
      </c>
      <c r="J4" s="114" t="str">
        <f ca="1">IFERROR(_xlfn.XLOOKUP('תכנית לשופט זירה ראשי'!X4,TeamList[מס"ד],TeamList[מס'' הקבוצה]),"")</f>
        <v/>
      </c>
      <c r="K4" s="115" t="str">
        <f ca="1">IFERROR(_xlfn.XLOOKUP('תכנית לשופט זירה ראשי'!Y4,TeamList[מס"ד],TeamList[מס'' הקבוצה]),"")</f>
        <v/>
      </c>
      <c r="L4" s="71"/>
      <c r="M4" s="111">
        <f>_xlfn.XLOOKUP(N,break_scheduler['# of teams],break_scheduler[Round matches])*2+1</f>
        <v>25</v>
      </c>
      <c r="N4" s="112">
        <f>start_round_II</f>
        <v>0.51388888888888884</v>
      </c>
      <c r="O4" s="113">
        <f>N4+TIME(0,3,0)</f>
        <v>0.51597222222222217</v>
      </c>
      <c r="P4" s="114">
        <f ca="1">IFERROR(_xlfn.XLOOKUP('תכנית לשופט זירה ראשי'!E18,TeamList[מס"ד],TeamList[מס'' הקבוצה]),"")</f>
        <v>1371</v>
      </c>
      <c r="Q4" s="114">
        <f ca="1">IFERROR(_xlfn.XLOOKUP('תכנית לשופט זירה ראשי'!F18,TeamList[מס"ד],TeamList[מס'' הקבוצה]),"")</f>
        <v>2623</v>
      </c>
      <c r="R4" s="114">
        <f ca="1">IFERROR(_xlfn.XLOOKUP('תכנית לשופט זירה ראשי'!G18,TeamList[מס"ד],TeamList[מס'' הקבוצה]),"")</f>
        <v>1825</v>
      </c>
      <c r="S4" s="114">
        <f ca="1">IFERROR(_xlfn.XLOOKUP('תכנית לשופט זירה ראשי'!H18,TeamList[מס"ד],TeamList[מס'' הקבוצה]),"")</f>
        <v>3163</v>
      </c>
      <c r="T4" s="114" t="str">
        <f ca="1">IFERROR(_xlfn.XLOOKUP('תכנית לשופט זירה ראשי'!I18,TeamList[מס"ד],TeamList[מס'' הקבוצה]),"")</f>
        <v/>
      </c>
      <c r="U4" s="114" t="str">
        <f ca="1">IFERROR(_xlfn.XLOOKUP('תכנית לשופט זירה ראשי'!J18,TeamList[מס"ד],TeamList[מס'' הקבוצה]),"")</f>
        <v/>
      </c>
      <c r="V4" s="114" t="str">
        <f ca="1">IFERROR(_xlfn.XLOOKUP('תכנית לשופט זירה ראשי'!K18,TeamList[מס"ד],TeamList[מס'' הקבוצה]),"")</f>
        <v/>
      </c>
      <c r="W4" s="115" t="str">
        <f ca="1">IFERROR(_xlfn.XLOOKUP('תכנית לשופט זירה ראשי'!L18,TeamList[מס"ד],TeamList[מס'' הקבוצה]),"")</f>
        <v/>
      </c>
    </row>
    <row r="5" spans="1:24" ht="18" customHeight="1" x14ac:dyDescent="0.65">
      <c r="A5" s="121">
        <f>A4+1</f>
        <v>2</v>
      </c>
      <c r="B5" s="122">
        <f t="shared" ref="B5:B14" si="1">B4+PM</f>
        <v>0.36874999999999997</v>
      </c>
      <c r="C5" s="123">
        <f t="shared" ref="C5:C15" si="2">B5+TIME(0,3,0)</f>
        <v>0.37083333333333329</v>
      </c>
      <c r="D5" s="96" t="str">
        <f ca="1">IFERROR(_xlfn.XLOOKUP('תכנית לשופט זירה ראשי'!R5,TeamList[מס"ד],TeamList[מס'' הקבוצה]),"")</f>
        <v/>
      </c>
      <c r="E5" s="96" t="str">
        <f ca="1">IFERROR(_xlfn.XLOOKUP('תכנית לשופט זירה ראשי'!S5,TeamList[מס"ד],TeamList[מס'' הקבוצה]),"")</f>
        <v/>
      </c>
      <c r="F5" s="96" t="str">
        <f ca="1">IFERROR(_xlfn.XLOOKUP('תכנית לשופט זירה ראשי'!T5,TeamList[מס"ד],TeamList[מס'' הקבוצה]),"")</f>
        <v/>
      </c>
      <c r="G5" s="96" t="str">
        <f ca="1">IFERROR(_xlfn.XLOOKUP('תכנית לשופט זירה ראשי'!U5,TeamList[מס"ד],TeamList[מס'' הקבוצה]),"")</f>
        <v/>
      </c>
      <c r="H5" s="96">
        <f ca="1">IFERROR(_xlfn.XLOOKUP('תכנית לשופט זירה ראשי'!V5,TeamList[מס"ד],TeamList[מס'' הקבוצה]),"")</f>
        <v>588</v>
      </c>
      <c r="I5" s="96">
        <f ca="1">IFERROR(_xlfn.XLOOKUP('תכנית לשופט זירה ראשי'!W5,TeamList[מס"ד],TeamList[מס'' הקבוצה]),"")</f>
        <v>3185</v>
      </c>
      <c r="J5" s="96">
        <f ca="1">IFERROR(_xlfn.XLOOKUP('תכנית לשופט זירה ראשי'!X5,TeamList[מס"ד],TeamList[מס'' הקבוצה]),"")</f>
        <v>1043</v>
      </c>
      <c r="K5" s="124">
        <f ca="1">IFERROR(_xlfn.XLOOKUP('תכנית לשופט זירה ראשי'!Y5,TeamList[מס"ד],TeamList[מס'' הקבוצה]),"")</f>
        <v>3022</v>
      </c>
      <c r="L5" s="71"/>
      <c r="M5" s="121">
        <f t="shared" ref="M5:M15" si="3">M4+1</f>
        <v>26</v>
      </c>
      <c r="N5" s="122">
        <f t="shared" ref="N5:N15" si="4">N4+ORM</f>
        <v>0.51736111111111105</v>
      </c>
      <c r="O5" s="123">
        <f t="shared" ref="O5:O14" si="5">N5+TIME(0,3,0)</f>
        <v>0.51944444444444438</v>
      </c>
      <c r="P5" s="96" t="str">
        <f ca="1">IFERROR(_xlfn.XLOOKUP('תכנית לשופט זירה ראשי'!E19,TeamList[מס"ד],TeamList[מס'' הקבוצה]),"")</f>
        <v/>
      </c>
      <c r="Q5" s="96" t="str">
        <f ca="1">IFERROR(_xlfn.XLOOKUP('תכנית לשופט זירה ראשי'!F19,TeamList[מס"ד],TeamList[מס'' הקבוצה]),"")</f>
        <v/>
      </c>
      <c r="R5" s="96" t="str">
        <f ca="1">IFERROR(_xlfn.XLOOKUP('תכנית לשופט זירה ראשי'!G19,TeamList[מס"ד],TeamList[מס'' הקבוצה]),"")</f>
        <v/>
      </c>
      <c r="S5" s="96" t="str">
        <f ca="1">IFERROR(_xlfn.XLOOKUP('תכנית לשופט זירה ראשי'!H19,TeamList[מס"ד],TeamList[מס'' הקבוצה]),"")</f>
        <v/>
      </c>
      <c r="T5" s="96">
        <f ca="1">IFERROR(_xlfn.XLOOKUP('תכנית לשופט זירה ראשי'!I19,TeamList[מס"ד],TeamList[מס'' הקבוצה]),"")</f>
        <v>3139</v>
      </c>
      <c r="U5" s="96">
        <f ca="1">IFERROR(_xlfn.XLOOKUP('תכנית לשופט זירה ראשי'!J19,TeamList[מס"ד],TeamList[מס'' הקבוצה]),"")</f>
        <v>2978</v>
      </c>
      <c r="V5" s="96">
        <f ca="1">IFERROR(_xlfn.XLOOKUP('תכנית לשופט זירה ראשי'!K19,TeamList[מס"ד],TeamList[מס'' הקבוצה]),"")</f>
        <v>3243</v>
      </c>
      <c r="W5" s="124">
        <f ca="1">IFERROR(_xlfn.XLOOKUP('תכנית לשופט זירה ראשי'!L19,TeamList[מס"ד],TeamList[מס'' הקבוצה]),"")</f>
        <v>3180</v>
      </c>
    </row>
    <row r="6" spans="1:24" ht="18" customHeight="1" x14ac:dyDescent="0.65">
      <c r="A6" s="111">
        <f t="shared" ref="A6:A15" si="6">A5+1</f>
        <v>3</v>
      </c>
      <c r="B6" s="112">
        <f t="shared" si="1"/>
        <v>0.37291666666666662</v>
      </c>
      <c r="C6" s="113">
        <f t="shared" si="2"/>
        <v>0.37499999999999994</v>
      </c>
      <c r="D6" s="114">
        <f ca="1">IFERROR(_xlfn.XLOOKUP('תכנית לשופט זירה ראשי'!R6,TeamList[מס"ד],TeamList[מס'' הקבוצה]),"")</f>
        <v>1371</v>
      </c>
      <c r="E6" s="114">
        <f ca="1">IFERROR(_xlfn.XLOOKUP('תכנית לשופט זירה ראשי'!S6,TeamList[מס"ד],TeamList[מס'' הקבוצה]),"")</f>
        <v>3179</v>
      </c>
      <c r="F6" s="114">
        <f ca="1">IFERROR(_xlfn.XLOOKUP('תכנית לשופט זירה ראשי'!T6,TeamList[מס"ד],TeamList[מס'' הקבוצה]),"")</f>
        <v>341</v>
      </c>
      <c r="G6" s="114">
        <f ca="1">IFERROR(_xlfn.XLOOKUP('תכנית לשופט זירה ראשי'!U6,TeamList[מס"ד],TeamList[מס'' הקבוצה]),"")</f>
        <v>1152</v>
      </c>
      <c r="H6" s="114" t="str">
        <f ca="1">IFERROR(_xlfn.XLOOKUP('תכנית לשופט זירה ראשי'!V6,TeamList[מס"ד],TeamList[מס'' הקבוצה]),"")</f>
        <v/>
      </c>
      <c r="I6" s="114" t="str">
        <f ca="1">IFERROR(_xlfn.XLOOKUP('תכנית לשופט זירה ראשי'!W6,TeamList[מס"ד],TeamList[מס'' הקבוצה]),"")</f>
        <v/>
      </c>
      <c r="J6" s="114" t="str">
        <f ca="1">IFERROR(_xlfn.XLOOKUP('תכנית לשופט זירה ראשי'!X6,TeamList[מס"ד],TeamList[מס'' הקבוצה]),"")</f>
        <v/>
      </c>
      <c r="K6" s="115" t="str">
        <f ca="1">IFERROR(_xlfn.XLOOKUP('תכנית לשופט זירה ראשי'!Y6,TeamList[מס"ד],TeamList[מס'' הקבוצה]),"")</f>
        <v/>
      </c>
      <c r="L6" s="71"/>
      <c r="M6" s="111">
        <f t="shared" si="3"/>
        <v>27</v>
      </c>
      <c r="N6" s="112">
        <f t="shared" si="4"/>
        <v>0.52083333333333326</v>
      </c>
      <c r="O6" s="113">
        <f t="shared" si="5"/>
        <v>0.52291666666666659</v>
      </c>
      <c r="P6" s="114">
        <f ca="1">IFERROR(_xlfn.XLOOKUP('תכנית לשופט זירה ראשי'!E20,TeamList[מס"ד],TeamList[מס'' הקבוצה]),"")</f>
        <v>515</v>
      </c>
      <c r="Q6" s="114">
        <f ca="1">IFERROR(_xlfn.XLOOKUP('תכנית לשופט זירה ראשי'!F20,TeamList[מס"ד],TeamList[מס'' הקבוצה]),"")</f>
        <v>588</v>
      </c>
      <c r="R6" s="114">
        <f ca="1">IFERROR(_xlfn.XLOOKUP('תכנית לשופט זירה ראשי'!G20,TeamList[מס"ד],TeamList[מס'' הקבוצה]),"")</f>
        <v>2954</v>
      </c>
      <c r="S6" s="114">
        <f ca="1">IFERROR(_xlfn.XLOOKUP('תכנית לשופט זירה ראשי'!H20,TeamList[מס"ד],TeamList[מס'' הקבוצה]),"")</f>
        <v>1042</v>
      </c>
      <c r="T6" s="114" t="str">
        <f ca="1">IFERROR(_xlfn.XLOOKUP('תכנית לשופט זירה ראשי'!I20,TeamList[מס"ד],TeamList[מס'' הקבוצה]),"")</f>
        <v/>
      </c>
      <c r="U6" s="114" t="str">
        <f ca="1">IFERROR(_xlfn.XLOOKUP('תכנית לשופט זירה ראשי'!J20,TeamList[מס"ד],TeamList[מס'' הקבוצה]),"")</f>
        <v/>
      </c>
      <c r="V6" s="114" t="str">
        <f ca="1">IFERROR(_xlfn.XLOOKUP('תכנית לשופט זירה ראשי'!K20,TeamList[מס"ד],TeamList[מס'' הקבוצה]),"")</f>
        <v/>
      </c>
      <c r="W6" s="115" t="str">
        <f ca="1">IFERROR(_xlfn.XLOOKUP('תכנית לשופט זירה ראשי'!L20,TeamList[מס"ד],TeamList[מס'' הקבוצה]),"")</f>
        <v/>
      </c>
    </row>
    <row r="7" spans="1:24" ht="18" customHeight="1" x14ac:dyDescent="0.65">
      <c r="A7" s="121">
        <f t="shared" si="6"/>
        <v>4</v>
      </c>
      <c r="B7" s="122">
        <f t="shared" si="1"/>
        <v>0.37708333333333327</v>
      </c>
      <c r="C7" s="123">
        <f t="shared" si="2"/>
        <v>0.3791666666666666</v>
      </c>
      <c r="D7" s="96" t="str">
        <f ca="1">IFERROR(_xlfn.XLOOKUP('תכנית לשופט זירה ראשי'!R7,TeamList[מס"ד],TeamList[מס'' הקבוצה]),"")</f>
        <v/>
      </c>
      <c r="E7" s="96" t="str">
        <f ca="1">IFERROR(_xlfn.XLOOKUP('תכנית לשופט זירה ראשי'!S7,TeamList[מס"ד],TeamList[מס'' הקבוצה]),"")</f>
        <v/>
      </c>
      <c r="F7" s="96" t="str">
        <f ca="1">IFERROR(_xlfn.XLOOKUP('תכנית לשופט זירה ראשי'!T7,TeamList[מס"ד],TeamList[מס'' הקבוצה]),"")</f>
        <v/>
      </c>
      <c r="G7" s="96" t="str">
        <f ca="1">IFERROR(_xlfn.XLOOKUP('תכנית לשופט זירה ראשי'!U7,TeamList[מס"ד],TeamList[מס'' הקבוצה]),"")</f>
        <v/>
      </c>
      <c r="H7" s="96">
        <f ca="1">IFERROR(_xlfn.XLOOKUP('תכנית לשופט זירה ראשי'!V7,TeamList[מס"ד],TeamList[מס'' הקבוצה]),"")</f>
        <v>3139</v>
      </c>
      <c r="I7" s="96">
        <f ca="1">IFERROR(_xlfn.XLOOKUP('תכנית לשופט זירה ראשי'!W7,TeamList[מס"ד],TeamList[מס'' הקבוצה]),"")</f>
        <v>3146</v>
      </c>
      <c r="J7" s="96">
        <f ca="1">IFERROR(_xlfn.XLOOKUP('תכנית לשופט זירה ראשי'!X7,TeamList[מס"ד],TeamList[מס'' הקבוצה]),"")</f>
        <v>2222</v>
      </c>
      <c r="K7" s="124">
        <f ca="1">IFERROR(_xlfn.XLOOKUP('תכנית לשופט זירה ראשי'!Y7,TeamList[מס"ד],TeamList[מס'' הקבוצה]),"")</f>
        <v>1864</v>
      </c>
      <c r="L7" s="71"/>
      <c r="M7" s="121">
        <f t="shared" si="3"/>
        <v>28</v>
      </c>
      <c r="N7" s="122">
        <f t="shared" si="4"/>
        <v>0.52430555555555547</v>
      </c>
      <c r="O7" s="123">
        <f t="shared" si="5"/>
        <v>0.5263888888888888</v>
      </c>
      <c r="P7" s="96" t="str">
        <f ca="1">IFERROR(_xlfn.XLOOKUP('תכנית לשופט זירה ראשי'!E21,TeamList[מס"ד],TeamList[מס'' הקבוצה]),"")</f>
        <v/>
      </c>
      <c r="Q7" s="96" t="str">
        <f ca="1">IFERROR(_xlfn.XLOOKUP('תכנית לשופט זירה ראשי'!F21,TeamList[מס"ד],TeamList[מס'' הקבוצה]),"")</f>
        <v/>
      </c>
      <c r="R7" s="96" t="str">
        <f ca="1">IFERROR(_xlfn.XLOOKUP('תכנית לשופט זירה ראשי'!G21,TeamList[מס"ד],TeamList[מס'' הקבוצה]),"")</f>
        <v/>
      </c>
      <c r="S7" s="96" t="str">
        <f ca="1">IFERROR(_xlfn.XLOOKUP('תכנית לשופט זירה ראשי'!H21,TeamList[מס"ד],TeamList[מס'' הקבוצה]),"")</f>
        <v/>
      </c>
      <c r="T7" s="96">
        <f ca="1">IFERROR(_xlfn.XLOOKUP('תכנית לשופט זירה ראשי'!I21,TeamList[מס"ד],TeamList[מס'' הקבוצה]),"")</f>
        <v>3022</v>
      </c>
      <c r="U7" s="96">
        <f ca="1">IFERROR(_xlfn.XLOOKUP('תכנית לשופט זירה ראשי'!J21,TeamList[מס"ד],TeamList[מס'' הקבוצה]),"")</f>
        <v>341</v>
      </c>
      <c r="V7" s="96">
        <f ca="1">IFERROR(_xlfn.XLOOKUP('תכנית לשופט זירה ראשי'!K21,TeamList[מס"ד],TeamList[מס'' הקבוצה]),"")</f>
        <v>2977</v>
      </c>
      <c r="W7" s="124">
        <f ca="1">IFERROR(_xlfn.XLOOKUP('תכנית לשופט זירה ראשי'!L21,TeamList[מס"ד],TeamList[מס'' הקבוצה]),"")</f>
        <v>3185</v>
      </c>
    </row>
    <row r="8" spans="1:24" ht="18" customHeight="1" x14ac:dyDescent="0.65">
      <c r="A8" s="111">
        <f t="shared" si="6"/>
        <v>5</v>
      </c>
      <c r="B8" s="112">
        <f t="shared" si="1"/>
        <v>0.38124999999999992</v>
      </c>
      <c r="C8" s="113">
        <f t="shared" si="2"/>
        <v>0.38333333333333325</v>
      </c>
      <c r="D8" s="114">
        <f ca="1">IFERROR(_xlfn.XLOOKUP('תכנית לשופט זירה ראשי'!R8,TeamList[מס"ד],TeamList[מס'' הקבוצה]),"")</f>
        <v>2840</v>
      </c>
      <c r="E8" s="114">
        <f ca="1">IFERROR(_xlfn.XLOOKUP('תכנית לשופט זירה ראשי'!S8,TeamList[מס"ד],TeamList[מס'' הקבוצה]),"")</f>
        <v>1333</v>
      </c>
      <c r="F8" s="114">
        <f ca="1">IFERROR(_xlfn.XLOOKUP('תכנית לשופט זירה ראשי'!T8,TeamList[מס"ד],TeamList[מס'' הקבוצה]),"")</f>
        <v>1324</v>
      </c>
      <c r="G8" s="114">
        <f ca="1">IFERROR(_xlfn.XLOOKUP('תכנית לשופט זירה ראשי'!U8,TeamList[מס"ד],TeamList[מס'' הקבוצה]),"")</f>
        <v>1300</v>
      </c>
      <c r="H8" s="114" t="str">
        <f ca="1">IFERROR(_xlfn.XLOOKUP('תכנית לשופט זירה ראשי'!V8,TeamList[מס"ד],TeamList[מס'' הקבוצה]),"")</f>
        <v/>
      </c>
      <c r="I8" s="114" t="str">
        <f ca="1">IFERROR(_xlfn.XLOOKUP('תכנית לשופט זירה ראשי'!W8,TeamList[מס"ד],TeamList[מס'' הקבוצה]),"")</f>
        <v/>
      </c>
      <c r="J8" s="114" t="str">
        <f ca="1">IFERROR(_xlfn.XLOOKUP('תכנית לשופט זירה ראשי'!X8,TeamList[מס"ד],TeamList[מס'' הקבוצה]),"")</f>
        <v/>
      </c>
      <c r="K8" s="115" t="str">
        <f ca="1">IFERROR(_xlfn.XLOOKUP('תכנית לשופט זירה ראשי'!Y8,TeamList[מס"ד],TeamList[מס'' הקבוצה]),"")</f>
        <v/>
      </c>
      <c r="L8" s="71"/>
      <c r="M8" s="111">
        <f t="shared" si="3"/>
        <v>29</v>
      </c>
      <c r="N8" s="112">
        <f t="shared" si="4"/>
        <v>0.52777777777777768</v>
      </c>
      <c r="O8" s="113">
        <f t="shared" si="5"/>
        <v>0.52986111111111101</v>
      </c>
      <c r="P8" s="114">
        <f ca="1">IFERROR(_xlfn.XLOOKUP('תכנית לשופט זירה ראשי'!E22,TeamList[מס"ד],TeamList[מס'' הקבוצה]),"")</f>
        <v>1152</v>
      </c>
      <c r="Q8" s="114">
        <f ca="1">IFERROR(_xlfn.XLOOKUP('תכנית לשופט זירה ראשי'!F22,TeamList[מס"ד],TeamList[מס'' הקבוצה]),"")</f>
        <v>2222</v>
      </c>
      <c r="R8" s="114">
        <f ca="1">IFERROR(_xlfn.XLOOKUP('תכנית לשופט זירה ראשי'!G22,TeamList[מס"ד],TeamList[מס'' הקבוצה]),"")</f>
        <v>1083</v>
      </c>
      <c r="S8" s="114">
        <f ca="1">IFERROR(_xlfn.XLOOKUP('תכנית לשופט זירה ראשי'!H22,TeamList[מס"ד],TeamList[מס'' הקבוצה]),"")</f>
        <v>3179</v>
      </c>
      <c r="T8" s="114" t="str">
        <f ca="1">IFERROR(_xlfn.XLOOKUP('תכנית לשופט זירה ראשי'!I22,TeamList[מס"ד],TeamList[מס'' הקבוצה]),"")</f>
        <v/>
      </c>
      <c r="U8" s="114" t="str">
        <f ca="1">IFERROR(_xlfn.XLOOKUP('תכנית לשופט זירה ראשי'!J22,TeamList[מס"ד],TeamList[מס'' הקבוצה]),"")</f>
        <v/>
      </c>
      <c r="V8" s="114" t="str">
        <f ca="1">IFERROR(_xlfn.XLOOKUP('תכנית לשופט זירה ראשי'!K22,TeamList[מס"ד],TeamList[מס'' הקבוצה]),"")</f>
        <v/>
      </c>
      <c r="W8" s="115" t="str">
        <f ca="1">IFERROR(_xlfn.XLOOKUP('תכנית לשופט זירה ראשי'!L22,TeamList[מס"ד],TeamList[מס'' הקבוצה]),"")</f>
        <v/>
      </c>
    </row>
    <row r="9" spans="1:24" ht="18" customHeight="1" x14ac:dyDescent="0.65">
      <c r="A9" s="121">
        <f t="shared" si="6"/>
        <v>6</v>
      </c>
      <c r="B9" s="122">
        <f t="shared" si="1"/>
        <v>0.38541666666666657</v>
      </c>
      <c r="C9" s="123">
        <f t="shared" si="2"/>
        <v>0.3874999999999999</v>
      </c>
      <c r="D9" s="96" t="str">
        <f ca="1">IFERROR(_xlfn.XLOOKUP('תכנית לשופט זירה ראשי'!R9,TeamList[מס"ד],TeamList[מס'' הקבוצה]),"")</f>
        <v/>
      </c>
      <c r="E9" s="96" t="str">
        <f ca="1">IFERROR(_xlfn.XLOOKUP('תכנית לשופט זירה ראשי'!S9,TeamList[מס"ד],TeamList[מס'' הקבוצה]),"")</f>
        <v/>
      </c>
      <c r="F9" s="96" t="str">
        <f ca="1">IFERROR(_xlfn.XLOOKUP('תכנית לשופט זירה ראשי'!T9,TeamList[מס"ד],TeamList[מס'' הקבוצה]),"")</f>
        <v/>
      </c>
      <c r="G9" s="96" t="str">
        <f ca="1">IFERROR(_xlfn.XLOOKUP('תכנית לשופט זירה ראשי'!U9,TeamList[מס"ד],TeamList[מס'' הקבוצה]),"")</f>
        <v/>
      </c>
      <c r="H9" s="96">
        <f ca="1">IFERROR(_xlfn.XLOOKUP('תכנית לשופט זירה ראשי'!V9,TeamList[מס"ד],TeamList[מס'' הקבוצה]),"")</f>
        <v>52</v>
      </c>
      <c r="I9" s="96">
        <f ca="1">IFERROR(_xlfn.XLOOKUP('תכנית לשופט זירה ראשי'!W9,TeamList[מס"ד],TeamList[מס'' הקבוצה]),"")</f>
        <v>662</v>
      </c>
      <c r="J9" s="96">
        <f ca="1">IFERROR(_xlfn.XLOOKUP('תכנית לשופט זירה ראשי'!X9,TeamList[מס"ד],TeamList[מס'' הקבוצה]),"")</f>
        <v>2622</v>
      </c>
      <c r="K9" s="124">
        <f ca="1">IFERROR(_xlfn.XLOOKUP('תכנית לשופט זירה ראשי'!Y9,TeamList[מס"ד],TeamList[מס'' הקבוצה]),"")</f>
        <v>3340</v>
      </c>
      <c r="L9" s="71"/>
      <c r="M9" s="121">
        <f t="shared" si="3"/>
        <v>30</v>
      </c>
      <c r="N9" s="122">
        <f t="shared" si="4"/>
        <v>0.53124999999999989</v>
      </c>
      <c r="O9" s="123">
        <f t="shared" si="5"/>
        <v>0.53333333333333321</v>
      </c>
      <c r="P9" s="96" t="str">
        <f ca="1">IFERROR(_xlfn.XLOOKUP('תכנית לשופט זירה ראשי'!E23,TeamList[מס"ד],TeamList[מס'' הקבוצה]),"")</f>
        <v/>
      </c>
      <c r="Q9" s="96" t="str">
        <f ca="1">IFERROR(_xlfn.XLOOKUP('תכנית לשופט זירה ראשי'!F23,TeamList[מס"ד],TeamList[מס'' הקבוצה]),"")</f>
        <v/>
      </c>
      <c r="R9" s="96" t="str">
        <f ca="1">IFERROR(_xlfn.XLOOKUP('תכנית לשופט זירה ראשי'!G23,TeamList[מס"ד],TeamList[מס'' הקבוצה]),"")</f>
        <v/>
      </c>
      <c r="S9" s="96" t="str">
        <f ca="1">IFERROR(_xlfn.XLOOKUP('תכנית לשופט זירה ראשי'!H23,TeamList[מס"ד],TeamList[מס'' הקבוצה]),"")</f>
        <v/>
      </c>
      <c r="T9" s="96">
        <f ca="1">IFERROR(_xlfn.XLOOKUP('תכנית לשופט זירה ראשי'!I23,TeamList[מס"ד],TeamList[מס'' הקבוצה]),"")</f>
        <v>1864</v>
      </c>
      <c r="U9" s="96">
        <f ca="1">IFERROR(_xlfn.XLOOKUP('תכנית לשופט זירה ראשי'!J23,TeamList[מס"ד],TeamList[מס'' הקבוצה]),"")</f>
        <v>3181</v>
      </c>
      <c r="V9" s="96">
        <f ca="1">IFERROR(_xlfn.XLOOKUP('תכנית לשופט זירה ראשי'!K23,TeamList[מס"ד],TeamList[מס'' הקבוצה]),"")</f>
        <v>1043</v>
      </c>
      <c r="W9" s="124">
        <f ca="1">IFERROR(_xlfn.XLOOKUP('תכנית לשופט זירה ראשי'!L23,TeamList[מס"ד],TeamList[מס'' הקבוצה]),"")</f>
        <v>3146</v>
      </c>
    </row>
    <row r="10" spans="1:24" ht="18" customHeight="1" x14ac:dyDescent="0.65">
      <c r="A10" s="111">
        <f t="shared" si="6"/>
        <v>7</v>
      </c>
      <c r="B10" s="112">
        <f t="shared" si="1"/>
        <v>0.38958333333333323</v>
      </c>
      <c r="C10" s="113">
        <f t="shared" si="2"/>
        <v>0.39166666666666655</v>
      </c>
      <c r="D10" s="114">
        <f ca="1">IFERROR(_xlfn.XLOOKUP('תכנית לשופט זירה ראשי'!R10,TeamList[מס"ד],TeamList[מס'' הקבוצה]),"")</f>
        <v>240</v>
      </c>
      <c r="E10" s="114">
        <f ca="1">IFERROR(_xlfn.XLOOKUP('תכנית לשופט זירה ראשי'!S10,TeamList[מס"ד],TeamList[מס'' הקבוצה]),"")</f>
        <v>1301</v>
      </c>
      <c r="F10" s="114">
        <f ca="1">IFERROR(_xlfn.XLOOKUP('תכנית לשופט זירה ראשי'!T10,TeamList[מס"ד],TeamList[מס'' הקבוצה]),"")</f>
        <v>1616</v>
      </c>
      <c r="G10" s="114">
        <f ca="1">IFERROR(_xlfn.XLOOKUP('תכנית לשופט זירה ראשי'!U10,TeamList[מס"ד],TeamList[מס'' הקבוצה]),"")</f>
        <v>3128</v>
      </c>
      <c r="H10" s="114" t="str">
        <f ca="1">IFERROR(_xlfn.XLOOKUP('תכנית לשופט זירה ראשי'!V10,TeamList[מס"ד],TeamList[מס'' הקבוצה]),"")</f>
        <v/>
      </c>
      <c r="I10" s="114" t="str">
        <f ca="1">IFERROR(_xlfn.XLOOKUP('תכנית לשופט זירה ראשי'!W10,TeamList[מס"ד],TeamList[מס'' הקבוצה]),"")</f>
        <v/>
      </c>
      <c r="J10" s="114" t="str">
        <f ca="1">IFERROR(_xlfn.XLOOKUP('תכנית לשופט זירה ראשי'!X10,TeamList[מס"ד],TeamList[מס'' הקבוצה]),"")</f>
        <v/>
      </c>
      <c r="K10" s="115" t="str">
        <f ca="1">IFERROR(_xlfn.XLOOKUP('תכנית לשופט זירה ראשי'!Y10,TeamList[מס"ד],TeamList[מס'' הקבוצה]),"")</f>
        <v/>
      </c>
      <c r="L10" s="71"/>
      <c r="M10" s="111">
        <f t="shared" si="3"/>
        <v>31</v>
      </c>
      <c r="N10" s="112">
        <f t="shared" si="4"/>
        <v>0.5347222222222221</v>
      </c>
      <c r="O10" s="113">
        <f t="shared" si="5"/>
        <v>0.53680555555555542</v>
      </c>
      <c r="P10" s="114">
        <f ca="1">IFERROR(_xlfn.XLOOKUP('תכנית לשופט זירה ראשי'!E24,TeamList[מס"ד],TeamList[מס'' הקבוצה]),"")</f>
        <v>3006</v>
      </c>
      <c r="Q10" s="114">
        <f ca="1">IFERROR(_xlfn.XLOOKUP('תכנית לשופט זירה ראשי'!F24,TeamList[מס"ד],TeamList[מס'' הקבוצה]),"")</f>
        <v>3184</v>
      </c>
      <c r="R10" s="114">
        <f ca="1">IFERROR(_xlfn.XLOOKUP('תכנית לשופט זירה ראשי'!G24,TeamList[מס"ד],TeamList[מס'' הקבוצה]),"")</f>
        <v>3128</v>
      </c>
      <c r="S10" s="114">
        <f ca="1">IFERROR(_xlfn.XLOOKUP('תכנית לשופט זירה ראשי'!H24,TeamList[מס"ד],TeamList[מס'' הקבוצה]),"")</f>
        <v>1214</v>
      </c>
      <c r="T10" s="114" t="str">
        <f ca="1">IFERROR(_xlfn.XLOOKUP('תכנית לשופט זירה ראשי'!I24,TeamList[מס"ד],TeamList[מס'' הקבוצה]),"")</f>
        <v/>
      </c>
      <c r="U10" s="114" t="str">
        <f ca="1">IFERROR(_xlfn.XLOOKUP('תכנית לשופט זירה ראשי'!J24,TeamList[מס"ד],TeamList[מס'' הקבוצה]),"")</f>
        <v/>
      </c>
      <c r="V10" s="114" t="str">
        <f ca="1">IFERROR(_xlfn.XLOOKUP('תכנית לשופט זירה ראשי'!K24,TeamList[מס"ד],TeamList[מס'' הקבוצה]),"")</f>
        <v/>
      </c>
      <c r="W10" s="115" t="str">
        <f ca="1">IFERROR(_xlfn.XLOOKUP('תכנית לשופט זירה ראשי'!L24,TeamList[מס"ד],TeamList[מס'' הקבוצה]),"")</f>
        <v/>
      </c>
    </row>
    <row r="11" spans="1:24" ht="18" customHeight="1" x14ac:dyDescent="0.65">
      <c r="A11" s="121">
        <f t="shared" si="6"/>
        <v>8</v>
      </c>
      <c r="B11" s="122">
        <f t="shared" si="1"/>
        <v>0.39374999999999988</v>
      </c>
      <c r="C11" s="123">
        <f t="shared" si="2"/>
        <v>0.3958333333333332</v>
      </c>
      <c r="D11" s="96" t="str">
        <f ca="1">IFERROR(_xlfn.XLOOKUP('תכנית לשופט זירה ראשי'!R11,TeamList[מס"ד],TeamList[מס'' הקבוצה]),"")</f>
        <v/>
      </c>
      <c r="E11" s="96" t="str">
        <f ca="1">IFERROR(_xlfn.XLOOKUP('תכנית לשופט זירה ראשי'!S11,TeamList[מס"ד],TeamList[מס'' הקבוצה]),"")</f>
        <v/>
      </c>
      <c r="F11" s="96" t="str">
        <f ca="1">IFERROR(_xlfn.XLOOKUP('תכנית לשופט זירה ראשי'!T11,TeamList[מס"ד],TeamList[מס'' הקבוצה]),"")</f>
        <v/>
      </c>
      <c r="G11" s="96" t="str">
        <f ca="1">IFERROR(_xlfn.XLOOKUP('תכנית לשופט זירה ראשי'!U11,TeamList[מס"ד],TeamList[מס'' הקבוצה]),"")</f>
        <v/>
      </c>
      <c r="H11" s="96">
        <f ca="1">IFERROR(_xlfn.XLOOKUP('תכנית לשופט זירה ראשי'!V11,TeamList[מס"ד],TeamList[מס'' הקבוצה]),"")</f>
        <v>1697</v>
      </c>
      <c r="I11" s="96">
        <f ca="1">IFERROR(_xlfn.XLOOKUP('תכנית לשופט זירה ראשי'!W11,TeamList[מס"ד],TeamList[מס'' הקבוצה]),"")</f>
        <v>3182</v>
      </c>
      <c r="J11" s="96">
        <f ca="1">IFERROR(_xlfn.XLOOKUP('תכנית לשופט זירה ראשי'!X11,TeamList[מס"ד],TeamList[מס'' הקבוצה]),"")</f>
        <v>1214</v>
      </c>
      <c r="K11" s="124">
        <f ca="1">IFERROR(_xlfn.XLOOKUP('תכנית לשופט זירה ראשי'!Y11,TeamList[מס"ד],TeamList[מס'' הקבוצה]),"")</f>
        <v>1099</v>
      </c>
      <c r="L11" s="71"/>
      <c r="M11" s="121">
        <f t="shared" si="3"/>
        <v>32</v>
      </c>
      <c r="N11" s="122">
        <f t="shared" si="4"/>
        <v>0.53819444444444431</v>
      </c>
      <c r="O11" s="123">
        <f t="shared" si="5"/>
        <v>0.54027777777777763</v>
      </c>
      <c r="P11" s="96" t="str">
        <f ca="1">IFERROR(_xlfn.XLOOKUP('תכנית לשופט זירה ראשי'!E25,TeamList[מס"ד],TeamList[מס'' הקבוצה]),"")</f>
        <v/>
      </c>
      <c r="Q11" s="96" t="str">
        <f ca="1">IFERROR(_xlfn.XLOOKUP('תכנית לשופט זירה ראשי'!F25,TeamList[מס"ד],TeamList[מס'' הקבוצה]),"")</f>
        <v/>
      </c>
      <c r="R11" s="96" t="str">
        <f ca="1">IFERROR(_xlfn.XLOOKUP('תכנית לשופט זירה ראשי'!G25,TeamList[מס"ד],TeamList[מס'' הקבוצה]),"")</f>
        <v/>
      </c>
      <c r="S11" s="96" t="str">
        <f ca="1">IFERROR(_xlfn.XLOOKUP('תכנית לשופט זירה ראשי'!H25,TeamList[מס"ד],TeamList[מס'' הקבוצה]),"")</f>
        <v/>
      </c>
      <c r="T11" s="96">
        <f ca="1">IFERROR(_xlfn.XLOOKUP('תכנית לשופט זירה ראשי'!I25,TeamList[מס"ד],TeamList[מס'' הקבוצה]),"")</f>
        <v>2130</v>
      </c>
      <c r="U11" s="96">
        <f ca="1">IFERROR(_xlfn.XLOOKUP('תכנית לשופט זירה ראשי'!J25,TeamList[מס"ד],TeamList[מס'' הקבוצה]),"")</f>
        <v>2748</v>
      </c>
      <c r="V11" s="96">
        <f ca="1">IFERROR(_xlfn.XLOOKUP('תכנית לשופט זירה ראשי'!K25,TeamList[מס"ד],TeamList[מס'' הקבוצה]),"")</f>
        <v>1099</v>
      </c>
      <c r="W11" s="124">
        <f ca="1">IFERROR(_xlfn.XLOOKUP('תכנית לשופט זירה ראשי'!L25,TeamList[מס"ד],TeamList[מס'' הקבוצה]),"")</f>
        <v>1300</v>
      </c>
    </row>
    <row r="12" spans="1:24" ht="18" customHeight="1" x14ac:dyDescent="0.65">
      <c r="A12" s="111">
        <f t="shared" si="6"/>
        <v>9</v>
      </c>
      <c r="B12" s="112">
        <f t="shared" si="1"/>
        <v>0.39791666666666653</v>
      </c>
      <c r="C12" s="113">
        <f t="shared" si="2"/>
        <v>0.39999999999999986</v>
      </c>
      <c r="D12" s="114">
        <f ca="1">IFERROR(_xlfn.XLOOKUP('תכנית לשופט זירה ראשי'!R12,TeamList[מס"ד],TeamList[מס'' הקבוצה]),"")</f>
        <v>3163</v>
      </c>
      <c r="E12" s="114">
        <f ca="1">IFERROR(_xlfn.XLOOKUP('תכנית לשופט זירה ראשי'!S12,TeamList[מס"ד],TeamList[מס'' הקבוצה]),"")</f>
        <v>3243</v>
      </c>
      <c r="F12" s="114">
        <f ca="1">IFERROR(_xlfn.XLOOKUP('תכנית לשופט זירה ראשי'!T12,TeamList[מס"ד],TeamList[מס'' הקבוצה]),"")</f>
        <v>3294</v>
      </c>
      <c r="G12" s="114">
        <f ca="1">IFERROR(_xlfn.XLOOKUP('תכנית לשופט זירה ראשי'!U12,TeamList[מס"ד],TeamList[מס'' הקבוצה]),"")</f>
        <v>3006</v>
      </c>
      <c r="H12" s="114" t="str">
        <f ca="1">IFERROR(_xlfn.XLOOKUP('תכנית לשופט זירה ראשי'!V12,TeamList[מס"ד],TeamList[מס'' הקבוצה]),"")</f>
        <v/>
      </c>
      <c r="I12" s="114" t="str">
        <f ca="1">IFERROR(_xlfn.XLOOKUP('תכנית לשופט זירה ראשי'!W12,TeamList[מס"ד],TeamList[מס'' הקבוצה]),"")</f>
        <v/>
      </c>
      <c r="J12" s="114" t="str">
        <f ca="1">IFERROR(_xlfn.XLOOKUP('תכנית לשופט זירה ראשי'!X12,TeamList[מס"ד],TeamList[מס'' הקבוצה]),"")</f>
        <v/>
      </c>
      <c r="K12" s="115" t="str">
        <f ca="1">IFERROR(_xlfn.XLOOKUP('תכנית לשופט זירה ראשי'!Y12,TeamList[מס"ד],TeamList[מס'' הקבוצה]),"")</f>
        <v/>
      </c>
      <c r="L12" s="71"/>
      <c r="M12" s="111">
        <f t="shared" si="3"/>
        <v>33</v>
      </c>
      <c r="N12" s="112">
        <f t="shared" si="4"/>
        <v>0.54166666666666652</v>
      </c>
      <c r="O12" s="113">
        <f t="shared" si="5"/>
        <v>0.54374999999999984</v>
      </c>
      <c r="P12" s="114">
        <f ca="1">IFERROR(_xlfn.XLOOKUP('תכנית לשופט זירה ראשי'!E26,TeamList[מס"ד],TeamList[מס'' הקבוצה]),"")</f>
        <v>2843</v>
      </c>
      <c r="Q12" s="114">
        <f ca="1">IFERROR(_xlfn.XLOOKUP('תכנית לשופט זירה ראשי'!F26,TeamList[מס"ד],TeamList[מס'' הקבוצה]),"")</f>
        <v>1332</v>
      </c>
      <c r="R12" s="114">
        <f ca="1">IFERROR(_xlfn.XLOOKUP('תכנית לשופט זירה ראשי'!G26,TeamList[מס"ד],TeamList[מס'' הקבוצה]),"")</f>
        <v>3294</v>
      </c>
      <c r="S12" s="114">
        <f ca="1">IFERROR(_xlfn.XLOOKUP('תכנית לשופט זירה ראשי'!H26,TeamList[מס"ד],TeamList[מס'' הקבוצה]),"")</f>
        <v>3340</v>
      </c>
      <c r="T12" s="114" t="str">
        <f ca="1">IFERROR(_xlfn.XLOOKUP('תכנית לשופט זירה ראשי'!I26,TeamList[מס"ד],TeamList[מס'' הקבוצה]),"")</f>
        <v/>
      </c>
      <c r="U12" s="114" t="str">
        <f ca="1">IFERROR(_xlfn.XLOOKUP('תכנית לשופט זירה ראשי'!J26,TeamList[מס"ד],TeamList[מס'' הקבוצה]),"")</f>
        <v/>
      </c>
      <c r="V12" s="114" t="str">
        <f ca="1">IFERROR(_xlfn.XLOOKUP('תכנית לשופט זירה ראשי'!K26,TeamList[מס"ד],TeamList[מס'' הקבוצה]),"")</f>
        <v/>
      </c>
      <c r="W12" s="115" t="str">
        <f ca="1">IFERROR(_xlfn.XLOOKUP('תכנית לשופט זירה ראשי'!L26,TeamList[מס"ד],TeamList[מס'' הקבוצה]),"")</f>
        <v/>
      </c>
    </row>
    <row r="13" spans="1:24" ht="18" customHeight="1" x14ac:dyDescent="0.65">
      <c r="A13" s="121">
        <f t="shared" si="6"/>
        <v>10</v>
      </c>
      <c r="B13" s="122">
        <f t="shared" si="1"/>
        <v>0.40208333333333318</v>
      </c>
      <c r="C13" s="123">
        <f t="shared" si="2"/>
        <v>0.40416666666666651</v>
      </c>
      <c r="D13" s="96" t="str">
        <f ca="1">IFERROR(_xlfn.XLOOKUP('תכנית לשופט זירה ראשי'!R13,TeamList[מס"ד],TeamList[מס'' הקבוצה]),"")</f>
        <v/>
      </c>
      <c r="E13" s="96" t="str">
        <f ca="1">IFERROR(_xlfn.XLOOKUP('תכנית לשופט זירה ראשי'!S13,TeamList[מס"ד],TeamList[מס'' הקבוצה]),"")</f>
        <v/>
      </c>
      <c r="F13" s="96" t="str">
        <f ca="1">IFERROR(_xlfn.XLOOKUP('תכנית לשופט זירה ראשי'!T13,TeamList[מס"ד],TeamList[מס'' הקבוצה]),"")</f>
        <v/>
      </c>
      <c r="G13" s="96" t="str">
        <f ca="1">IFERROR(_xlfn.XLOOKUP('תכנית לשופט זירה ראשי'!U13,TeamList[מס"ד],TeamList[מס'' הקבוצה]),"")</f>
        <v/>
      </c>
      <c r="H13" s="96">
        <f ca="1">IFERROR(_xlfn.XLOOKUP('תכנית לשופט זירה ראשי'!V13,TeamList[מס"ד],TeamList[מס'' הקבוצה]),"")</f>
        <v>3180</v>
      </c>
      <c r="I13" s="96">
        <f ca="1">IFERROR(_xlfn.XLOOKUP('תכנית לשופט זירה ראשי'!W13,TeamList[מס"ד],TeamList[מס'' הקבוצה]),"")</f>
        <v>2954</v>
      </c>
      <c r="J13" s="96">
        <f ca="1">IFERROR(_xlfn.XLOOKUP('תכנית לשופט זירה ראשי'!X13,TeamList[מס"ד],TeamList[מס'' הקבוצה]),"")</f>
        <v>3184</v>
      </c>
      <c r="K13" s="124">
        <f ca="1">IFERROR(_xlfn.XLOOKUP('תכנית לשופט זירה ראשי'!Y13,TeamList[מס"ד],TeamList[מס'' הקבוצה]),"")</f>
        <v>2130</v>
      </c>
      <c r="L13" s="71"/>
      <c r="M13" s="121">
        <f t="shared" si="3"/>
        <v>34</v>
      </c>
      <c r="N13" s="122">
        <f t="shared" si="4"/>
        <v>0.54513888888888873</v>
      </c>
      <c r="O13" s="123">
        <f t="shared" si="5"/>
        <v>0.54722222222222205</v>
      </c>
      <c r="P13" s="96" t="str">
        <f ca="1">IFERROR(_xlfn.XLOOKUP('תכנית לשופט זירה ראשי'!E27,TeamList[מס"ד],TeamList[מס'' הקבוצה]),"")</f>
        <v/>
      </c>
      <c r="Q13" s="96" t="str">
        <f ca="1">IFERROR(_xlfn.XLOOKUP('תכנית לשופט זירה ראשי'!F27,TeamList[מס"ד],TeamList[מס'' הקבוצה]),"")</f>
        <v/>
      </c>
      <c r="R13" s="96" t="str">
        <f ca="1">IFERROR(_xlfn.XLOOKUP('תכנית לשופט זירה ראשי'!G27,TeamList[מס"ד],TeamList[מס'' הקבוצה]),"")</f>
        <v/>
      </c>
      <c r="S13" s="96" t="str">
        <f ca="1">IFERROR(_xlfn.XLOOKUP('תכנית לשופט זירה ראשי'!H27,TeamList[מס"ד],TeamList[מס'' הקבוצה]),"")</f>
        <v/>
      </c>
      <c r="T13" s="96">
        <f ca="1">IFERROR(_xlfn.XLOOKUP('תכנית לשופט זירה ראשי'!I27,TeamList[מס"ד],TeamList[מס'' הקבוצה]),"")</f>
        <v>2622</v>
      </c>
      <c r="U13" s="96">
        <f ca="1">IFERROR(_xlfn.XLOOKUP('תכנית לשופט זירה ראשי'!J27,TeamList[מס"ד],TeamList[מס'' הקבוצה]),"")</f>
        <v>1301</v>
      </c>
      <c r="V13" s="96">
        <f ca="1">IFERROR(_xlfn.XLOOKUP('תכנית לשופט זירה ראשי'!K27,TeamList[מס"ד],TeamList[מס'' הקבוצה]),"")</f>
        <v>1697</v>
      </c>
      <c r="W13" s="124">
        <f ca="1">IFERROR(_xlfn.XLOOKUP('תכנית לשופט זירה ראשי'!L27,TeamList[מס"ד],TeamList[מס'' הקבוצה]),"")</f>
        <v>2840</v>
      </c>
    </row>
    <row r="14" spans="1:24" ht="18" customHeight="1" x14ac:dyDescent="0.65">
      <c r="A14" s="111">
        <f t="shared" si="6"/>
        <v>11</v>
      </c>
      <c r="B14" s="112">
        <f t="shared" si="1"/>
        <v>0.40624999999999983</v>
      </c>
      <c r="C14" s="113">
        <f t="shared" si="2"/>
        <v>0.40833333333333316</v>
      </c>
      <c r="D14" s="114">
        <f ca="1">IFERROR(_xlfn.XLOOKUP('תכנית לשופט זירה ראשי'!R14,TeamList[מס"ד],TeamList[מס'' הקבוצה]),"")</f>
        <v>1042</v>
      </c>
      <c r="E14" s="114">
        <f ca="1">IFERROR(_xlfn.XLOOKUP('תכנית לשופט זירה ראשי'!S14,TeamList[מס"ד],TeamList[מס'' הקבוצה]),"")</f>
        <v>2623</v>
      </c>
      <c r="F14" s="114">
        <f ca="1">IFERROR(_xlfn.XLOOKUP('תכנית לשופט זירה ראשי'!T14,TeamList[מס"ד],TeamList[מס'' הקבוצה]),"")</f>
        <v>2748</v>
      </c>
      <c r="G14" s="114">
        <f ca="1">IFERROR(_xlfn.XLOOKUP('תכנית לשופט זירה ראשי'!U14,TeamList[מס"ד],TeamList[מס'' הקבוצה]),"")</f>
        <v>2843</v>
      </c>
      <c r="H14" s="114" t="str">
        <f ca="1">IFERROR(_xlfn.XLOOKUP('תכנית לשופט זירה ראשי'!V14,TeamList[מס"ד],TeamList[מס'' הקבוצה]),"")</f>
        <v/>
      </c>
      <c r="I14" s="114" t="str">
        <f ca="1">IFERROR(_xlfn.XLOOKUP('תכנית לשופט זירה ראשי'!W14,TeamList[מס"ד],TeamList[מס'' הקבוצה]),"")</f>
        <v/>
      </c>
      <c r="J14" s="114" t="str">
        <f ca="1">IFERROR(_xlfn.XLOOKUP('תכנית לשופט זירה ראשי'!X14,TeamList[מס"ד],TeamList[מס'' הקבוצה]),"")</f>
        <v/>
      </c>
      <c r="K14" s="115" t="str">
        <f ca="1">IFERROR(_xlfn.XLOOKUP('תכנית לשופט זירה ראשי'!Y14,TeamList[מס"ד],TeamList[מס'' הקבוצה]),"")</f>
        <v/>
      </c>
      <c r="L14" s="71"/>
      <c r="M14" s="111">
        <f t="shared" si="3"/>
        <v>35</v>
      </c>
      <c r="N14" s="112">
        <f t="shared" si="4"/>
        <v>0.54861111111111094</v>
      </c>
      <c r="O14" s="113">
        <f t="shared" si="5"/>
        <v>0.55069444444444426</v>
      </c>
      <c r="P14" s="114">
        <f ca="1">IFERROR(_xlfn.XLOOKUP('תכנית לשופט זירה ראשי'!E28,TeamList[מס"ד],TeamList[מס'' הקבוצה]),"")</f>
        <v>1616</v>
      </c>
      <c r="Q14" s="114">
        <f ca="1">IFERROR(_xlfn.XLOOKUP('תכנית לשופט זירה ראשי'!F28,TeamList[מס"ד],TeamList[מס'' הקבוצה]),"")</f>
        <v>3182</v>
      </c>
      <c r="R14" s="114">
        <f ca="1">IFERROR(_xlfn.XLOOKUP('תכנית לשופט זירה ראשי'!G28,TeamList[מס"ד],TeamList[מס'' הקבוצה]),"")</f>
        <v>1333</v>
      </c>
      <c r="S14" s="114">
        <f ca="1">IFERROR(_xlfn.XLOOKUP('תכנית לשופט זירה ראשי'!H28,TeamList[מס"ד],TeamList[מס'' הקבוצה]),"")</f>
        <v>52</v>
      </c>
      <c r="T14" s="114" t="str">
        <f ca="1">IFERROR(_xlfn.XLOOKUP('תכנית לשופט זירה ראשי'!I28,TeamList[מס"ד],TeamList[מס'' הקבוצה]),"")</f>
        <v/>
      </c>
      <c r="U14" s="114" t="str">
        <f ca="1">IFERROR(_xlfn.XLOOKUP('תכנית לשופט זירה ראשי'!J28,TeamList[מס"ד],TeamList[מס'' הקבוצה]),"")</f>
        <v/>
      </c>
      <c r="V14" s="114" t="str">
        <f ca="1">IFERROR(_xlfn.XLOOKUP('תכנית לשופט זירה ראשי'!K28,TeamList[מס"ד],TeamList[מס'' הקבוצה]),"")</f>
        <v/>
      </c>
      <c r="W14" s="115" t="str">
        <f ca="1">IFERROR(_xlfn.XLOOKUP('תכנית לשופט זירה ראשי'!L28,TeamList[מס"ד],TeamList[מס'' הקבוצה]),"")</f>
        <v/>
      </c>
    </row>
    <row r="15" spans="1:24" ht="18" customHeight="1" thickBot="1" x14ac:dyDescent="0.8">
      <c r="A15" s="121">
        <f t="shared" si="6"/>
        <v>12</v>
      </c>
      <c r="B15" s="122">
        <f>B14+PM</f>
        <v>0.41041666666666649</v>
      </c>
      <c r="C15" s="123">
        <f t="shared" si="2"/>
        <v>0.41249999999999981</v>
      </c>
      <c r="D15" s="125" t="str">
        <f ca="1">IFERROR(_xlfn.XLOOKUP('תכנית לשופט זירה ראשי'!R15,TeamList[מס"ד],TeamList[מס'' הקבוצה]),"")</f>
        <v/>
      </c>
      <c r="E15" s="125" t="str">
        <f ca="1">IFERROR(_xlfn.XLOOKUP('תכנית לשופט זירה ראשי'!S15,TeamList[מס"ד],TeamList[מס'' הקבוצה]),"")</f>
        <v/>
      </c>
      <c r="F15" s="125" t="str">
        <f ca="1">IFERROR(_xlfn.XLOOKUP('תכנית לשופט זירה ראשי'!T15,TeamList[מס"ד],TeamList[מס'' הקבוצה]),"")</f>
        <v/>
      </c>
      <c r="G15" s="125" t="str">
        <f ca="1">IFERROR(_xlfn.XLOOKUP('תכנית לשופט זירה ראשי'!U15,TeamList[מס"ד],TeamList[מס'' הקבוצה]),"")</f>
        <v/>
      </c>
      <c r="H15" s="125">
        <f ca="1">IFERROR(_xlfn.XLOOKUP('תכנית לשופט זירה ראשי'!V15,TeamList[מס"ד],TeamList[מס'' הקבוצה]),"")</f>
        <v>1825</v>
      </c>
      <c r="I15" s="125">
        <f ca="1">IFERROR(_xlfn.XLOOKUP('תכנית לשופט זירה ראשי'!W15,TeamList[מס"ד],TeamList[מס'' הקבוצה]),"")</f>
        <v>2977</v>
      </c>
      <c r="J15" s="125">
        <f ca="1">IFERROR(_xlfn.XLOOKUP('תכנית לשופט זירה ראשי'!X15,TeamList[מס"ד],TeamList[מס'' הקבוצה]),"")</f>
        <v>1332</v>
      </c>
      <c r="K15" s="126">
        <f ca="1">IFERROR(_xlfn.XLOOKUP('תכנית לשופט זירה ראשי'!Y15,TeamList[מס"ד],TeamList[מס'' הקבוצה]),"")</f>
        <v>1720</v>
      </c>
      <c r="L15" s="71"/>
      <c r="M15" s="121">
        <f t="shared" si="3"/>
        <v>36</v>
      </c>
      <c r="N15" s="122">
        <f t="shared" si="4"/>
        <v>0.55208333333333315</v>
      </c>
      <c r="O15" s="123">
        <f>N15+TIME(0,3,0)</f>
        <v>0.55416666666666647</v>
      </c>
      <c r="P15" s="96" t="str">
        <f ca="1">IFERROR(_xlfn.XLOOKUP('תכנית לשופט זירה ראשי'!E29,TeamList[מס"ד],TeamList[מס'' הקבוצה]),"")</f>
        <v/>
      </c>
      <c r="Q15" s="96" t="str">
        <f ca="1">IFERROR(_xlfn.XLOOKUP('תכנית לשופט זירה ראשי'!F29,TeamList[מס"ד],TeamList[מס'' הקבוצה]),"")</f>
        <v/>
      </c>
      <c r="R15" s="96" t="str">
        <f ca="1">IFERROR(_xlfn.XLOOKUP('תכנית לשופט זירה ראשי'!G29,TeamList[מס"ד],TeamList[מס'' הקבוצה]),"")</f>
        <v/>
      </c>
      <c r="S15" s="96" t="str">
        <f ca="1">IFERROR(_xlfn.XLOOKUP('תכנית לשופט זירה ראשי'!H29,TeamList[מס"ד],TeamList[מס'' הקבוצה]),"")</f>
        <v/>
      </c>
      <c r="T15" s="96">
        <f ca="1">IFERROR(_xlfn.XLOOKUP('תכנית לשופט זירה ראשי'!I29,TeamList[מס"ד],TeamList[מס'' הקבוצה]),"")</f>
        <v>1720</v>
      </c>
      <c r="U15" s="96">
        <f ca="1">IFERROR(_xlfn.XLOOKUP('תכנית לשופט זירה ראשי'!J29,TeamList[מס"ד],TeamList[מס'' הקבוצה]),"")</f>
        <v>1324</v>
      </c>
      <c r="V15" s="96">
        <f ca="1">IFERROR(_xlfn.XLOOKUP('תכנית לשופט זירה ראשי'!K29,TeamList[מס"ד],TeamList[מס'' הקבוצה]),"")</f>
        <v>662</v>
      </c>
      <c r="W15" s="124">
        <f ca="1">IFERROR(_xlfn.XLOOKUP('תכנית לשופט זירה ראשי'!L29,TeamList[מס"ד],TeamList[מס'' הקבוצה]),"")</f>
        <v>240</v>
      </c>
    </row>
    <row r="16" spans="1:24" ht="18" customHeight="1" thickBot="1" x14ac:dyDescent="0.8">
      <c r="A16" s="101"/>
      <c r="B16" s="132">
        <f>_xlfn.XLOOKUP(N,break_scheduler['# of teams],break_scheduler[Practice end])</f>
        <v>0.4145833333333333</v>
      </c>
      <c r="C16" s="132">
        <f>_xlfn.XLOOKUP(N,break_scheduler['# of teams],break_scheduler[Round 1 start])</f>
        <v>0.44097222222222221</v>
      </c>
      <c r="D16" s="246" t="s">
        <v>40</v>
      </c>
      <c r="E16" s="246"/>
      <c r="F16" s="246"/>
      <c r="G16" s="246"/>
      <c r="H16" s="246"/>
      <c r="I16" s="246"/>
      <c r="J16" s="246"/>
      <c r="K16" s="247"/>
      <c r="L16" s="71"/>
      <c r="M16" s="101"/>
      <c r="N16" s="132">
        <f>_xlfn.XLOOKUP(N,break_scheduler['# of teams],break_scheduler[Round 2 end])</f>
        <v>0.55555555555555547</v>
      </c>
      <c r="O16" s="133">
        <f>_xlfn.XLOOKUP(N,break_scheduler['# of teams],break_scheduler[Round 3 start])</f>
        <v>0.59027777777777768</v>
      </c>
      <c r="P16" s="245" t="s">
        <v>40</v>
      </c>
      <c r="Q16" s="246"/>
      <c r="R16" s="246"/>
      <c r="S16" s="246"/>
      <c r="T16" s="246"/>
      <c r="U16" s="246"/>
      <c r="V16" s="246"/>
      <c r="W16" s="247"/>
    </row>
    <row r="17" spans="1:24" s="4" customFormat="1" ht="33.65" customHeight="1" thickTop="1" thickBot="1" x14ac:dyDescent="0.85">
      <c r="A17" s="250" t="s">
        <v>190</v>
      </c>
      <c r="B17" s="250"/>
      <c r="C17" s="250"/>
      <c r="D17" s="250"/>
      <c r="E17" s="250"/>
      <c r="F17" s="250"/>
      <c r="G17" s="250"/>
      <c r="H17" s="250"/>
      <c r="I17" s="250"/>
      <c r="J17" s="250"/>
      <c r="K17" s="250"/>
      <c r="L17" s="79"/>
      <c r="M17" s="248" t="s">
        <v>191</v>
      </c>
      <c r="N17" s="248"/>
      <c r="O17" s="248"/>
      <c r="P17" s="248"/>
      <c r="Q17" s="248"/>
      <c r="R17" s="248"/>
      <c r="S17" s="248"/>
      <c r="T17" s="248"/>
      <c r="U17" s="248"/>
      <c r="V17" s="248"/>
      <c r="W17" s="248"/>
      <c r="X17"/>
    </row>
    <row r="18" spans="1:24" ht="18" customHeight="1" thickBot="1" x14ac:dyDescent="0.8">
      <c r="A18" s="102" t="s">
        <v>30</v>
      </c>
      <c r="B18" s="103" t="s">
        <v>36</v>
      </c>
      <c r="C18" s="103" t="s">
        <v>23</v>
      </c>
      <c r="D18" s="104" t="str">
        <f t="shared" ref="D18:K18" si="7">D3</f>
        <v>1 אדום</v>
      </c>
      <c r="E18" s="104" t="str">
        <f t="shared" si="7"/>
        <v>2 אדום</v>
      </c>
      <c r="F18" s="104" t="str">
        <f t="shared" si="7"/>
        <v>3 אדום</v>
      </c>
      <c r="G18" s="104" t="str">
        <f t="shared" si="7"/>
        <v>4 אדום</v>
      </c>
      <c r="H18" s="104" t="str">
        <f t="shared" si="7"/>
        <v>5 אדום</v>
      </c>
      <c r="I18" s="104" t="str">
        <f t="shared" si="7"/>
        <v>6 אדום</v>
      </c>
      <c r="J18" s="104" t="str">
        <f t="shared" si="7"/>
        <v>7 אדום</v>
      </c>
      <c r="K18" s="105" t="str">
        <f t="shared" si="7"/>
        <v>8 אדום</v>
      </c>
      <c r="L18" s="71"/>
      <c r="M18" s="107" t="s">
        <v>30</v>
      </c>
      <c r="N18" s="108" t="s">
        <v>36</v>
      </c>
      <c r="O18" s="108" t="s">
        <v>23</v>
      </c>
      <c r="P18" s="109" t="str">
        <f t="shared" ref="P18:W18" si="8">P3</f>
        <v>1 אדום</v>
      </c>
      <c r="Q18" s="109" t="str">
        <f t="shared" si="8"/>
        <v>2 אדום</v>
      </c>
      <c r="R18" s="109" t="str">
        <f t="shared" si="8"/>
        <v>3 אדום</v>
      </c>
      <c r="S18" s="109" t="str">
        <f t="shared" si="8"/>
        <v>4 אדום</v>
      </c>
      <c r="T18" s="109" t="str">
        <f t="shared" si="8"/>
        <v>5 אדום</v>
      </c>
      <c r="U18" s="109" t="str">
        <f t="shared" si="8"/>
        <v>6 אדום</v>
      </c>
      <c r="V18" s="109" t="str">
        <f t="shared" si="8"/>
        <v>7 אדום</v>
      </c>
      <c r="W18" s="110" t="str">
        <f t="shared" si="8"/>
        <v>8 אדום</v>
      </c>
    </row>
    <row r="19" spans="1:24" ht="18" customHeight="1" x14ac:dyDescent="0.65">
      <c r="A19" s="111">
        <f>_xlfn.XLOOKUP(N,break_scheduler['# of teams],break_scheduler[Round matches])+1</f>
        <v>13</v>
      </c>
      <c r="B19" s="112">
        <f>start_round_I</f>
        <v>0.44097222222222221</v>
      </c>
      <c r="C19" s="113">
        <f>B19+TIME(0,3,0)</f>
        <v>0.44305555555555554</v>
      </c>
      <c r="D19" s="114">
        <f ca="1">IFERROR(_xlfn.XLOOKUP('תכנית לשופט זירה ראשי'!E4,TeamList[מס"ד],TeamList[מס'' הקבוצה]),"")</f>
        <v>240</v>
      </c>
      <c r="E19" s="114">
        <f ca="1">IFERROR(_xlfn.XLOOKUP('תכנית לשופט זירה ראשי'!F4,TeamList[מס"ד],TeamList[מס'' הקבוצה]),"")</f>
        <v>1333</v>
      </c>
      <c r="F19" s="114">
        <f ca="1">IFERROR(_xlfn.XLOOKUP('תכנית לשופט זירה ראשי'!G4,TeamList[מס"ד],TeamList[מס'' הקבוצה]),"")</f>
        <v>1152</v>
      </c>
      <c r="G19" s="114">
        <f ca="1">IFERROR(_xlfn.XLOOKUP('תכנית לשופט זירה ראשי'!H4,TeamList[מס"ד],TeamList[מס'' הקבוצה]),"")</f>
        <v>2840</v>
      </c>
      <c r="H19" s="114" t="str">
        <f ca="1">IFERROR(_xlfn.XLOOKUP('תכנית לשופט זירה ראשי'!I4,TeamList[מס"ד],TeamList[מס'' הקבוצה]),"")</f>
        <v/>
      </c>
      <c r="I19" s="114" t="str">
        <f ca="1">IFERROR(_xlfn.XLOOKUP('תכנית לשופט זירה ראשי'!J4,TeamList[מס"ד],TeamList[מס'' הקבוצה]),"")</f>
        <v/>
      </c>
      <c r="J19" s="114" t="str">
        <f ca="1">IFERROR(_xlfn.XLOOKUP('תכנית לשופט זירה ראשי'!K4,TeamList[מס"ד],TeamList[מס'' הקבוצה]),"")</f>
        <v/>
      </c>
      <c r="K19" s="115" t="str">
        <f ca="1">IFERROR(_xlfn.XLOOKUP('תכנית לשופט זירה ראשי'!L4,TeamList[מס"ד],TeamList[מס'' הקבוצה]),"")</f>
        <v/>
      </c>
      <c r="L19" s="71"/>
      <c r="M19" s="116">
        <f>_xlfn.XLOOKUP(N,break_scheduler['# of teams],break_scheduler[Round matches])*3+1</f>
        <v>37</v>
      </c>
      <c r="N19" s="117">
        <f>start_round_III</f>
        <v>0.59027777777777768</v>
      </c>
      <c r="O19" s="118">
        <f t="shared" ref="O19:O29" si="9">N19+TIME(0,3,0)</f>
        <v>0.59236111111111101</v>
      </c>
      <c r="P19" s="119">
        <f ca="1">IFERROR(_xlfn.XLOOKUP('תכנית לשופט זירה ראשי'!E32,TeamList[מס"ד],TeamList[מס'' הקבוצה]),"")</f>
        <v>3180</v>
      </c>
      <c r="Q19" s="119">
        <f ca="1">IFERROR(_xlfn.XLOOKUP('תכנית לשופט זירה ראשי'!F32,TeamList[מס"ד],TeamList[מס'' הקבוצה]),"")</f>
        <v>3163</v>
      </c>
      <c r="R19" s="119">
        <f ca="1">IFERROR(_xlfn.XLOOKUP('תכנית לשופט זירה ראשי'!G32,TeamList[מס"ד],TeamList[מס'' הקבוצה]),"")</f>
        <v>1825</v>
      </c>
      <c r="S19" s="119">
        <f ca="1">IFERROR(_xlfn.XLOOKUP('תכנית לשופט זירה ראשי'!H32,TeamList[מס"ד],TeamList[מס'' הקבוצה]),"")</f>
        <v>1042</v>
      </c>
      <c r="T19" s="119" t="str">
        <f ca="1">IFERROR(_xlfn.XLOOKUP('תכנית לשופט זירה ראשי'!I32,TeamList[מס"ד],TeamList[מס'' הקבוצה]),"")</f>
        <v/>
      </c>
      <c r="U19" s="119" t="str">
        <f ca="1">IFERROR(_xlfn.XLOOKUP('תכנית לשופט זירה ראשי'!J32,TeamList[מס"ד],TeamList[מס'' הקבוצה]),"")</f>
        <v/>
      </c>
      <c r="V19" s="119" t="str">
        <f ca="1">IFERROR(_xlfn.XLOOKUP('תכנית לשופט זירה ראשי'!K32,TeamList[מס"ד],TeamList[מס'' הקבוצה]),"")</f>
        <v/>
      </c>
      <c r="W19" s="120" t="str">
        <f ca="1">IFERROR(_xlfn.XLOOKUP('תכנית לשופט זירה ראשי'!L32,TeamList[מס"ד],TeamList[מס'' הקבוצה]),"")</f>
        <v/>
      </c>
    </row>
    <row r="20" spans="1:24" s="6" customFormat="1" ht="18" customHeight="1" x14ac:dyDescent="0.65">
      <c r="A20" s="121">
        <f t="shared" ref="A20:A30" si="10">A19+1</f>
        <v>14</v>
      </c>
      <c r="B20" s="122">
        <f t="shared" ref="B20:B30" si="11">B19+ORM</f>
        <v>0.44444444444444442</v>
      </c>
      <c r="C20" s="123">
        <f t="shared" ref="C20:C30" si="12">B20+TIME(0,3,0)</f>
        <v>0.44652777777777775</v>
      </c>
      <c r="D20" s="96" t="str">
        <f ca="1">IFERROR(_xlfn.XLOOKUP('תכנית לשופט זירה ראשי'!E5,TeamList[מס"ד],TeamList[מס'' הקבוצה]),"")</f>
        <v/>
      </c>
      <c r="E20" s="96" t="str">
        <f ca="1">IFERROR(_xlfn.XLOOKUP('תכנית לשופט זירה ראשי'!F5,TeamList[מס"ד],TeamList[מס'' הקבוצה]),"")</f>
        <v/>
      </c>
      <c r="F20" s="96" t="str">
        <f ca="1">IFERROR(_xlfn.XLOOKUP('תכנית לשופט זירה ראשי'!G5,TeamList[מס"ד],TeamList[מס'' הקבוצה]),"")</f>
        <v/>
      </c>
      <c r="G20" s="96" t="str">
        <f ca="1">IFERROR(_xlfn.XLOOKUP('תכנית לשופט זירה ראשי'!H5,TeamList[מס"ד],TeamList[מס'' הקבוצה]),"")</f>
        <v/>
      </c>
      <c r="H20" s="96">
        <f ca="1">IFERROR(_xlfn.XLOOKUP('תכנית לשופט זירה ראשי'!I5,TeamList[מס"ד],TeamList[מס'' הקבוצה]),"")</f>
        <v>1697</v>
      </c>
      <c r="I20" s="96">
        <f ca="1">IFERROR(_xlfn.XLOOKUP('תכנית לשופט זירה ראשי'!J5,TeamList[מס"ד],TeamList[מס'' הקבוצה]),"")</f>
        <v>662</v>
      </c>
      <c r="J20" s="96">
        <f ca="1">IFERROR(_xlfn.XLOOKUP('תכנית לשופט זירה ראשי'!K5,TeamList[מס"ד],TeamList[מס'' הקבוצה]),"")</f>
        <v>1864</v>
      </c>
      <c r="K20" s="124">
        <f ca="1">IFERROR(_xlfn.XLOOKUP('תכנית לשופט זירה ראשי'!L5,TeamList[מס"ד],TeamList[מס'' הקבוצה]),"")</f>
        <v>52</v>
      </c>
      <c r="L20" s="106"/>
      <c r="M20" s="121">
        <f t="shared" ref="M20:M30" si="13">M19+1</f>
        <v>38</v>
      </c>
      <c r="N20" s="122">
        <f t="shared" ref="N20:N30" si="14">N19+ORM</f>
        <v>0.59374999999999989</v>
      </c>
      <c r="O20" s="123">
        <f t="shared" si="9"/>
        <v>0.59583333333333321</v>
      </c>
      <c r="P20" s="96" t="str">
        <f ca="1">IFERROR(_xlfn.XLOOKUP('תכנית לשופט זירה ראשי'!E33,TeamList[מס"ד],TeamList[מס'' הקבוצה]),"")</f>
        <v/>
      </c>
      <c r="Q20" s="96" t="str">
        <f ca="1">IFERROR(_xlfn.XLOOKUP('תכנית לשופט זירה ראשי'!F33,TeamList[מס"ד],TeamList[מס'' הקבוצה]),"")</f>
        <v/>
      </c>
      <c r="R20" s="96" t="str">
        <f ca="1">IFERROR(_xlfn.XLOOKUP('תכנית לשופט זירה ראשי'!G33,TeamList[מס"ד],TeamList[מס'' הקבוצה]),"")</f>
        <v/>
      </c>
      <c r="S20" s="96" t="str">
        <f ca="1">IFERROR(_xlfn.XLOOKUP('תכנית לשופט זירה ראשי'!H33,TeamList[מס"ד],TeamList[מס'' הקבוצה]),"")</f>
        <v/>
      </c>
      <c r="T20" s="96">
        <f ca="1">IFERROR(_xlfn.XLOOKUP('תכנית לשופט זירה ראשי'!I33,TeamList[מס"ד],TeamList[מס'' הקבוצה]),"")</f>
        <v>2954</v>
      </c>
      <c r="U20" s="96">
        <f ca="1">IFERROR(_xlfn.XLOOKUP('תכנית לשופט זירה ראשי'!J33,TeamList[מס"ד],TeamList[מס'' הקבוצה]),"")</f>
        <v>3243</v>
      </c>
      <c r="V20" s="96">
        <f ca="1">IFERROR(_xlfn.XLOOKUP('תכנית לשופט זירה ראשי'!K33,TeamList[מס"ד],TeamList[מס'' הקבוצה]),"")</f>
        <v>2978</v>
      </c>
      <c r="W20" s="124">
        <f ca="1">IFERROR(_xlfn.XLOOKUP('תכנית לשופט זירה ראשי'!L33,TeamList[מס"ד],TeamList[מס'' הקבוצה]),"")</f>
        <v>2623</v>
      </c>
      <c r="X20"/>
    </row>
    <row r="21" spans="1:24" ht="18" customHeight="1" x14ac:dyDescent="0.65">
      <c r="A21" s="111">
        <f t="shared" si="10"/>
        <v>15</v>
      </c>
      <c r="B21" s="112">
        <f t="shared" si="11"/>
        <v>0.44791666666666663</v>
      </c>
      <c r="C21" s="113">
        <f t="shared" si="12"/>
        <v>0.44999999999999996</v>
      </c>
      <c r="D21" s="114">
        <f ca="1">IFERROR(_xlfn.XLOOKUP('תכנית לשופט זירה ראשי'!E6,TeamList[מס"ד],TeamList[מס'' הקבוצה]),"")</f>
        <v>3243</v>
      </c>
      <c r="E21" s="114">
        <f ca="1">IFERROR(_xlfn.XLOOKUP('תכנית לשופט זירה ראשי'!F6,TeamList[מס"ד],TeamList[מס'' הקבוצה]),"")</f>
        <v>1301</v>
      </c>
      <c r="F21" s="114">
        <f ca="1">IFERROR(_xlfn.XLOOKUP('תכנית לשופט זירה ראשי'!G6,TeamList[מס"ד],TeamList[מס'' הקבוצה]),"")</f>
        <v>3163</v>
      </c>
      <c r="G21" s="114">
        <f ca="1">IFERROR(_xlfn.XLOOKUP('תכנית לשופט זירה ראשי'!H6,TeamList[מס"ד],TeamList[מס'' הקבוצה]),"")</f>
        <v>1042</v>
      </c>
      <c r="H21" s="114" t="str">
        <f ca="1">IFERROR(_xlfn.XLOOKUP('תכנית לשופט זירה ראשי'!I6,TeamList[מס"ד],TeamList[מס'' הקבוצה]),"")</f>
        <v/>
      </c>
      <c r="I21" s="114" t="str">
        <f ca="1">IFERROR(_xlfn.XLOOKUP('תכנית לשופט זירה ראשי'!J6,TeamList[מס"ד],TeamList[מס'' הקבוצה]),"")</f>
        <v/>
      </c>
      <c r="J21" s="114" t="str">
        <f ca="1">IFERROR(_xlfn.XLOOKUP('תכנית לשופט זירה ראשי'!K6,TeamList[מס"ד],TeamList[מס'' הקבוצה]),"")</f>
        <v/>
      </c>
      <c r="K21" s="115" t="str">
        <f ca="1">IFERROR(_xlfn.XLOOKUP('תכנית לשופט זירה ראשי'!L6,TeamList[מס"ד],TeamList[מס'' הקבוצה]),"")</f>
        <v/>
      </c>
      <c r="L21" s="71"/>
      <c r="M21" s="111">
        <f t="shared" si="13"/>
        <v>39</v>
      </c>
      <c r="N21" s="112">
        <f t="shared" si="14"/>
        <v>0.5972222222222221</v>
      </c>
      <c r="O21" s="113">
        <f t="shared" si="9"/>
        <v>0.59930555555555542</v>
      </c>
      <c r="P21" s="114">
        <f ca="1">IFERROR(_xlfn.XLOOKUP('תכנית לשופט זירה ראשי'!E34,TeamList[מס"ד],TeamList[מס'' הקבוצה]),"")</f>
        <v>1371</v>
      </c>
      <c r="Q21" s="114">
        <f ca="1">IFERROR(_xlfn.XLOOKUP('תכנית לשופט זירה ראשי'!F34,TeamList[מס"ד],TeamList[מס'' הקבוצה]),"")</f>
        <v>588</v>
      </c>
      <c r="R21" s="114">
        <f ca="1">IFERROR(_xlfn.XLOOKUP('תכנית לשופט זירה ראשי'!G34,TeamList[מס"ד],TeamList[מס'' הקבוצה]),"")</f>
        <v>515</v>
      </c>
      <c r="S21" s="114">
        <f ca="1">IFERROR(_xlfn.XLOOKUP('תכנית לשופט זירה ראשי'!H34,TeamList[מס"ד],TeamList[מס'' הקבוצה]),"")</f>
        <v>3139</v>
      </c>
      <c r="T21" s="114" t="str">
        <f ca="1">IFERROR(_xlfn.XLOOKUP('תכנית לשופט זירה ראשי'!I34,TeamList[מס"ד],TeamList[מס'' הקבוצה]),"")</f>
        <v/>
      </c>
      <c r="U21" s="114" t="str">
        <f ca="1">IFERROR(_xlfn.XLOOKUP('תכנית לשופט זירה ראשי'!J34,TeamList[מס"ד],TeamList[מס'' הקבוצה]),"")</f>
        <v/>
      </c>
      <c r="V21" s="114" t="str">
        <f ca="1">IFERROR(_xlfn.XLOOKUP('תכנית לשופט זירה ראשי'!K34,TeamList[מס"ד],TeamList[מס'' הקבוצה]),"")</f>
        <v/>
      </c>
      <c r="W21" s="115" t="str">
        <f ca="1">IFERROR(_xlfn.XLOOKUP('תכנית לשופט זירה ראשי'!L34,TeamList[מס"ד],TeamList[מס'' הקבוצה]),"")</f>
        <v/>
      </c>
    </row>
    <row r="22" spans="1:24" ht="18" customHeight="1" x14ac:dyDescent="0.65">
      <c r="A22" s="121">
        <f t="shared" si="10"/>
        <v>16</v>
      </c>
      <c r="B22" s="122">
        <f t="shared" si="11"/>
        <v>0.45138888888888884</v>
      </c>
      <c r="C22" s="123">
        <f t="shared" si="12"/>
        <v>0.45347222222222217</v>
      </c>
      <c r="D22" s="96" t="str">
        <f ca="1">IFERROR(_xlfn.XLOOKUP('תכנית לשופט זירה ראשי'!E7,TeamList[מס"ד],TeamList[מס'' הקבוצה]),"")</f>
        <v/>
      </c>
      <c r="E22" s="96" t="str">
        <f ca="1">IFERROR(_xlfn.XLOOKUP('תכנית לשופט זירה ראשי'!F7,TeamList[מס"ד],TeamList[מס'' הקבוצה]),"")</f>
        <v/>
      </c>
      <c r="F22" s="96" t="str">
        <f ca="1">IFERROR(_xlfn.XLOOKUP('תכנית לשופט זירה ראשי'!G7,TeamList[מס"ד],TeamList[מס'' הקבוצה]),"")</f>
        <v/>
      </c>
      <c r="G22" s="96" t="str">
        <f ca="1">IFERROR(_xlfn.XLOOKUP('תכנית לשופט זירה ראשי'!H7,TeamList[מס"ד],TeamList[מס'' הקבוצה]),"")</f>
        <v/>
      </c>
      <c r="H22" s="96">
        <f ca="1">IFERROR(_xlfn.XLOOKUP('תכנית לשופט זירה ראשי'!I7,TeamList[מס"ד],TeamList[מס'' הקבוצה]),"")</f>
        <v>3022</v>
      </c>
      <c r="I22" s="96">
        <f ca="1">IFERROR(_xlfn.XLOOKUP('תכנית לשופט זירה ראשי'!J7,TeamList[מס"ד],TeamList[מס'' הקבוצה]),"")</f>
        <v>3182</v>
      </c>
      <c r="J22" s="96">
        <f ca="1">IFERROR(_xlfn.XLOOKUP('תכנית לשופט זירה ראשי'!K7,TeamList[מס"ד],TeamList[מס'' הקבוצה]),"")</f>
        <v>3180</v>
      </c>
      <c r="K22" s="124">
        <f ca="1">IFERROR(_xlfn.XLOOKUP('תכנית לשופט זירה ראשי'!L7,TeamList[מס"ד],TeamList[מס'' הקבוצה]),"")</f>
        <v>1825</v>
      </c>
      <c r="L22" s="71"/>
      <c r="M22" s="121">
        <f t="shared" si="13"/>
        <v>40</v>
      </c>
      <c r="N22" s="122">
        <f t="shared" si="14"/>
        <v>0.60069444444444431</v>
      </c>
      <c r="O22" s="123">
        <f t="shared" si="9"/>
        <v>0.60277777777777763</v>
      </c>
      <c r="P22" s="96" t="str">
        <f ca="1">IFERROR(_xlfn.XLOOKUP('תכנית לשופט זירה ראשי'!E35,TeamList[מס"ד],TeamList[מס'' הקבוצה]),"")</f>
        <v/>
      </c>
      <c r="Q22" s="96" t="str">
        <f ca="1">IFERROR(_xlfn.XLOOKUP('תכנית לשופט זירה ראשי'!F35,TeamList[מס"ד],TeamList[מס'' הקבוצה]),"")</f>
        <v/>
      </c>
      <c r="R22" s="96" t="str">
        <f ca="1">IFERROR(_xlfn.XLOOKUP('תכנית לשופט זירה ראשי'!G35,TeamList[מס"ד],TeamList[מס'' הקבוצה]),"")</f>
        <v/>
      </c>
      <c r="S22" s="96" t="str">
        <f ca="1">IFERROR(_xlfn.XLOOKUP('תכנית לשופט זירה ראשי'!H35,TeamList[מס"ד],TeamList[מס'' הקבוצה]),"")</f>
        <v/>
      </c>
      <c r="T22" s="96">
        <f ca="1">IFERROR(_xlfn.XLOOKUP('תכנית לשופט זירה ראשי'!I35,TeamList[מס"ד],TeamList[מס'' הקבוצה]),"")</f>
        <v>3179</v>
      </c>
      <c r="U22" s="96">
        <f ca="1">IFERROR(_xlfn.XLOOKUP('תכנית לשופט זירה ראשי'!J35,TeamList[מס"ד],TeamList[מס'' הקבוצה]),"")</f>
        <v>3185</v>
      </c>
      <c r="V22" s="96">
        <f ca="1">IFERROR(_xlfn.XLOOKUP('תכנית לשופט זירה ראשי'!K35,TeamList[מס"ד],TeamList[מס'' הקבוצה]),"")</f>
        <v>2977</v>
      </c>
      <c r="W22" s="124">
        <f ca="1">IFERROR(_xlfn.XLOOKUP('תכנית לשופט זירה ראשי'!L35,TeamList[מס"ד],TeamList[מס'' הקבוצה]),"")</f>
        <v>3146</v>
      </c>
    </row>
    <row r="23" spans="1:24" ht="18" customHeight="1" x14ac:dyDescent="0.65">
      <c r="A23" s="111">
        <f t="shared" si="10"/>
        <v>17</v>
      </c>
      <c r="B23" s="112">
        <f t="shared" si="11"/>
        <v>0.45486111111111105</v>
      </c>
      <c r="C23" s="113">
        <f t="shared" si="12"/>
        <v>0.45694444444444438</v>
      </c>
      <c r="D23" s="114">
        <f ca="1">IFERROR(_xlfn.XLOOKUP('תכנית לשופט זירה ראשי'!E8,TeamList[מס"ד],TeamList[מס'' הקבוצה]),"")</f>
        <v>1371</v>
      </c>
      <c r="E23" s="114">
        <f ca="1">IFERROR(_xlfn.XLOOKUP('תכנית לשופט זירה ראשי'!F8,TeamList[מס"ד],TeamList[מס'' הקבוצה]),"")</f>
        <v>515</v>
      </c>
      <c r="F23" s="114">
        <f ca="1">IFERROR(_xlfn.XLOOKUP('תכנית לשופט זירה ראשי'!G8,TeamList[מס"ד],TeamList[מס'' הקבוצה]),"")</f>
        <v>2954</v>
      </c>
      <c r="G23" s="114">
        <f ca="1">IFERROR(_xlfn.XLOOKUP('תכנית לשופט זירה ראשי'!H8,TeamList[מס"ד],TeamList[מס'' הקבוצה]),"")</f>
        <v>2978</v>
      </c>
      <c r="H23" s="114" t="str">
        <f ca="1">IFERROR(_xlfn.XLOOKUP('תכנית לשופט זירה ראשי'!I8,TeamList[מס"ד],TeamList[מס'' הקבוצה]),"")</f>
        <v/>
      </c>
      <c r="I23" s="114" t="str">
        <f ca="1">IFERROR(_xlfn.XLOOKUP('תכנית לשופט זירה ראשי'!J8,TeamList[מס"ד],TeamList[מס'' הקבוצה]),"")</f>
        <v/>
      </c>
      <c r="J23" s="114" t="str">
        <f ca="1">IFERROR(_xlfn.XLOOKUP('תכנית לשופט זירה ראשי'!K8,TeamList[מס"ד],TeamList[מס'' הקבוצה]),"")</f>
        <v/>
      </c>
      <c r="K23" s="115" t="str">
        <f ca="1">IFERROR(_xlfn.XLOOKUP('תכנית לשופט זירה ראשי'!L8,TeamList[מס"ד],TeamList[מס'' הקבוצה]),"")</f>
        <v/>
      </c>
      <c r="L23" s="71"/>
      <c r="M23" s="111">
        <f t="shared" si="13"/>
        <v>41</v>
      </c>
      <c r="N23" s="112">
        <f t="shared" si="14"/>
        <v>0.60416666666666652</v>
      </c>
      <c r="O23" s="113">
        <f t="shared" si="9"/>
        <v>0.60624999999999984</v>
      </c>
      <c r="P23" s="114">
        <f ca="1">IFERROR(_xlfn.XLOOKUP('תכנית לשופט זירה ראשי'!E36,TeamList[מס"ד],TeamList[מס'' הקבוצה]),"")</f>
        <v>1043</v>
      </c>
      <c r="Q23" s="114">
        <f ca="1">IFERROR(_xlfn.XLOOKUP('תכנית לשופט זירה ראשי'!F36,TeamList[מס"ד],TeamList[מס'' הקבוצה]),"")</f>
        <v>1083</v>
      </c>
      <c r="R23" s="114">
        <f ca="1">IFERROR(_xlfn.XLOOKUP('תכנית לשופט זירה ראשי'!G36,TeamList[מס"ד],TeamList[מס'' הקבוצה]),"")</f>
        <v>2222</v>
      </c>
      <c r="S23" s="114">
        <f ca="1">IFERROR(_xlfn.XLOOKUP('תכנית לשופט זירה ראשי'!H36,TeamList[מס"ד],TeamList[מס'' הקבוצה]),"")</f>
        <v>341</v>
      </c>
      <c r="T23" s="114" t="str">
        <f ca="1">IFERROR(_xlfn.XLOOKUP('תכנית לשופט זירה ראשי'!I36,TeamList[מס"ד],TeamList[מס'' הקבוצה]),"")</f>
        <v/>
      </c>
      <c r="U23" s="114" t="str">
        <f ca="1">IFERROR(_xlfn.XLOOKUP('תכנית לשופט זירה ראשי'!J36,TeamList[מס"ד],TeamList[מס'' הקבוצה]),"")</f>
        <v/>
      </c>
      <c r="V23" s="114" t="str">
        <f ca="1">IFERROR(_xlfn.XLOOKUP('תכנית לשופט זירה ראשי'!K36,TeamList[מס"ד],TeamList[מס'' הקבוצה]),"")</f>
        <v/>
      </c>
      <c r="W23" s="115" t="str">
        <f ca="1">IFERROR(_xlfn.XLOOKUP('תכנית לשופט זירה ראשי'!L36,TeamList[מס"ד],TeamList[מס'' הקבוצה]),"")</f>
        <v/>
      </c>
    </row>
    <row r="24" spans="1:24" ht="18" customHeight="1" x14ac:dyDescent="0.65">
      <c r="A24" s="121">
        <f t="shared" si="10"/>
        <v>18</v>
      </c>
      <c r="B24" s="122">
        <f t="shared" si="11"/>
        <v>0.45833333333333326</v>
      </c>
      <c r="C24" s="123">
        <f t="shared" si="12"/>
        <v>0.46041666666666659</v>
      </c>
      <c r="D24" s="96" t="str">
        <f ca="1">IFERROR(_xlfn.XLOOKUP('תכנית לשופט זירה ראשי'!E9,TeamList[מס"ד],TeamList[מס'' הקבוצה]),"")</f>
        <v/>
      </c>
      <c r="E24" s="96" t="str">
        <f ca="1">IFERROR(_xlfn.XLOOKUP('תכנית לשופט זירה ראשי'!F9,TeamList[מס"ד],TeamList[מס'' הקבוצה]),"")</f>
        <v/>
      </c>
      <c r="F24" s="96" t="str">
        <f ca="1">IFERROR(_xlfn.XLOOKUP('תכנית לשופט זירה ראשי'!G9,TeamList[מס"ד],TeamList[מס'' הקבוצה]),"")</f>
        <v/>
      </c>
      <c r="G24" s="96" t="str">
        <f ca="1">IFERROR(_xlfn.XLOOKUP('תכנית לשופט זירה ראשי'!H9,TeamList[מס"ד],TeamList[מס'' הקבוצה]),"")</f>
        <v/>
      </c>
      <c r="H24" s="96">
        <f ca="1">IFERROR(_xlfn.XLOOKUP('תכנית לשופט זירה ראשי'!I9,TeamList[מס"ד],TeamList[מס'' הקבוצה]),"")</f>
        <v>3139</v>
      </c>
      <c r="I24" s="96">
        <f ca="1">IFERROR(_xlfn.XLOOKUP('תכנית לשופט זירה ראשי'!J9,TeamList[מס"ד],TeamList[מס'' הקבוצה]),"")</f>
        <v>3185</v>
      </c>
      <c r="J24" s="96">
        <f ca="1">IFERROR(_xlfn.XLOOKUP('תכנית לשופט זירה ראשי'!K9,TeamList[מס"ד],TeamList[מס'' הקבוצה]),"")</f>
        <v>2623</v>
      </c>
      <c r="K24" s="124">
        <f ca="1">IFERROR(_xlfn.XLOOKUP('תכנית לשופט זירה ראשי'!L9,TeamList[מס"ד],TeamList[מס'' הקבוצה]),"")</f>
        <v>588</v>
      </c>
      <c r="L24" s="71"/>
      <c r="M24" s="121">
        <f t="shared" si="13"/>
        <v>42</v>
      </c>
      <c r="N24" s="122">
        <f t="shared" si="14"/>
        <v>0.60763888888888873</v>
      </c>
      <c r="O24" s="123">
        <f t="shared" si="9"/>
        <v>0.60972222222222205</v>
      </c>
      <c r="P24" s="96" t="str">
        <f ca="1">IFERROR(_xlfn.XLOOKUP('תכנית לשופט זירה ראשי'!E37,TeamList[מס"ד],TeamList[מס'' הקבוצה]),"")</f>
        <v/>
      </c>
      <c r="Q24" s="96" t="str">
        <f ca="1">IFERROR(_xlfn.XLOOKUP('תכנית לשופט זירה ראשי'!F37,TeamList[מס"ד],TeamList[מס'' הקבוצה]),"")</f>
        <v/>
      </c>
      <c r="R24" s="96" t="str">
        <f ca="1">IFERROR(_xlfn.XLOOKUP('תכנית לשופט זירה ראשי'!G37,TeamList[מס"ד],TeamList[מס'' הקבוצה]),"")</f>
        <v/>
      </c>
      <c r="S24" s="96" t="str">
        <f ca="1">IFERROR(_xlfn.XLOOKUP('תכנית לשופט זירה ראשי'!H37,TeamList[מס"ד],TeamList[מס'' הקבוצה]),"")</f>
        <v/>
      </c>
      <c r="T24" s="96">
        <f ca="1">IFERROR(_xlfn.XLOOKUP('תכנית לשופט זירה ראשי'!I37,TeamList[מס"ד],TeamList[מס'' הקבוצה]),"")</f>
        <v>3022</v>
      </c>
      <c r="U24" s="96">
        <f ca="1">IFERROR(_xlfn.XLOOKUP('תכנית לשופט זירה ראשי'!J37,TeamList[מס"ד],TeamList[מס'' הקבוצה]),"")</f>
        <v>3181</v>
      </c>
      <c r="V24" s="96">
        <f ca="1">IFERROR(_xlfn.XLOOKUP('תכנית לשופט זירה ראשי'!K37,TeamList[מס"ד],TeamList[מס'' הקבוצה]),"")</f>
        <v>1864</v>
      </c>
      <c r="W24" s="124">
        <f ca="1">IFERROR(_xlfn.XLOOKUP('תכנית לשופט זירה ראשי'!L37,TeamList[מס"ד],TeamList[מס'' הקבוצה]),"")</f>
        <v>1152</v>
      </c>
    </row>
    <row r="25" spans="1:24" ht="18" customHeight="1" x14ac:dyDescent="0.65">
      <c r="A25" s="111">
        <f t="shared" si="10"/>
        <v>19</v>
      </c>
      <c r="B25" s="112">
        <f t="shared" si="11"/>
        <v>0.46180555555555547</v>
      </c>
      <c r="C25" s="113">
        <f t="shared" si="12"/>
        <v>0.4638888888888888</v>
      </c>
      <c r="D25" s="114">
        <f ca="1">IFERROR(_xlfn.XLOOKUP('תכנית לשופט זירה ראשי'!E10,TeamList[מס"ד],TeamList[מס'' הקבוצה]),"")</f>
        <v>1300</v>
      </c>
      <c r="E25" s="114">
        <f ca="1">IFERROR(_xlfn.XLOOKUP('תכנית לשופט זירה ראשי'!F10,TeamList[מס"ד],TeamList[מס'' הקבוצה]),"")</f>
        <v>3128</v>
      </c>
      <c r="F25" s="114">
        <f ca="1">IFERROR(_xlfn.XLOOKUP('תכנית לשופט זירה ראשי'!G10,TeamList[מס"ד],TeamList[מס'' הקבוצה]),"")</f>
        <v>1324</v>
      </c>
      <c r="G25" s="114">
        <f ca="1">IFERROR(_xlfn.XLOOKUP('תכנית לשופט זירה ראשי'!H10,TeamList[מס"ד],TeamList[מס'' הקבוצה]),"")</f>
        <v>1616</v>
      </c>
      <c r="H25" s="114" t="str">
        <f ca="1">IFERROR(_xlfn.XLOOKUP('תכנית לשופט זירה ראשי'!I10,TeamList[מס"ד],TeamList[מס'' הקבוצה]),"")</f>
        <v/>
      </c>
      <c r="I25" s="114" t="str">
        <f ca="1">IFERROR(_xlfn.XLOOKUP('תכנית לשופט זירה ראשי'!J10,TeamList[מס"ד],TeamList[מס'' הקבוצה]),"")</f>
        <v/>
      </c>
      <c r="J25" s="114" t="str">
        <f ca="1">IFERROR(_xlfn.XLOOKUP('תכנית לשופט זירה ראשי'!K10,TeamList[מס"ד],TeamList[מס'' הקבוצה]),"")</f>
        <v/>
      </c>
      <c r="K25" s="115" t="str">
        <f ca="1">IFERROR(_xlfn.XLOOKUP('תכנית לשופט זירה ראשי'!L10,TeamList[מס"ד],TeamList[מס'' הקבוצה]),"")</f>
        <v/>
      </c>
      <c r="L25" s="71"/>
      <c r="M25" s="111">
        <f t="shared" si="13"/>
        <v>43</v>
      </c>
      <c r="N25" s="112">
        <f t="shared" si="14"/>
        <v>0.61111111111111094</v>
      </c>
      <c r="O25" s="113">
        <f t="shared" si="9"/>
        <v>0.61319444444444426</v>
      </c>
      <c r="P25" s="114">
        <f ca="1">IFERROR(_xlfn.XLOOKUP('תכנית לשופט זירה ראשי'!E38,TeamList[מס"ד],TeamList[מס'' הקבוצה]),"")</f>
        <v>52</v>
      </c>
      <c r="Q25" s="114">
        <f ca="1">IFERROR(_xlfn.XLOOKUP('תכנית לשופט זירה ראשי'!F38,TeamList[מס"ד],TeamList[מס'' הקבוצה]),"")</f>
        <v>2840</v>
      </c>
      <c r="R25" s="114">
        <f ca="1">IFERROR(_xlfn.XLOOKUP('תכנית לשופט זירה ראשי'!G38,TeamList[מס"ד],TeamList[מס'' הקבוצה]),"")</f>
        <v>1697</v>
      </c>
      <c r="S25" s="114">
        <f ca="1">IFERROR(_xlfn.XLOOKUP('תכנית לשופט זירה ראשי'!H38,TeamList[מס"ד],TeamList[מס'' הקבוצה]),"")</f>
        <v>240</v>
      </c>
      <c r="T25" s="114" t="str">
        <f ca="1">IFERROR(_xlfn.XLOOKUP('תכנית לשופט זירה ראשי'!I38,TeamList[מס"ד],TeamList[מס'' הקבוצה]),"")</f>
        <v/>
      </c>
      <c r="U25" s="114" t="str">
        <f ca="1">IFERROR(_xlfn.XLOOKUP('תכנית לשופט זירה ראשי'!J38,TeamList[מס"ד],TeamList[מס'' הקבוצה]),"")</f>
        <v/>
      </c>
      <c r="V25" s="114" t="str">
        <f ca="1">IFERROR(_xlfn.XLOOKUP('תכנית לשופט זירה ראשי'!K38,TeamList[מס"ד],TeamList[מס'' הקבוצה]),"")</f>
        <v/>
      </c>
      <c r="W25" s="115" t="str">
        <f ca="1">IFERROR(_xlfn.XLOOKUP('תכנית לשופט זירה ראשי'!L38,TeamList[מס"ד],TeamList[מס'' הקבוצה]),"")</f>
        <v/>
      </c>
    </row>
    <row r="26" spans="1:24" ht="18" customHeight="1" x14ac:dyDescent="0.65">
      <c r="A26" s="121">
        <f t="shared" si="10"/>
        <v>20</v>
      </c>
      <c r="B26" s="122">
        <f t="shared" si="11"/>
        <v>0.46527777777777768</v>
      </c>
      <c r="C26" s="123">
        <f t="shared" si="12"/>
        <v>0.46736111111111101</v>
      </c>
      <c r="D26" s="96" t="str">
        <f ca="1">IFERROR(_xlfn.XLOOKUP('תכנית לשופט זירה ראשי'!E11,TeamList[מס"ד],TeamList[מס'' הקבוצה]),"")</f>
        <v/>
      </c>
      <c r="E26" s="96" t="str">
        <f ca="1">IFERROR(_xlfn.XLOOKUP('תכנית לשופט זירה ראשי'!F11,TeamList[מס"ד],TeamList[מס'' הקבוצה]),"")</f>
        <v/>
      </c>
      <c r="F26" s="96" t="str">
        <f ca="1">IFERROR(_xlfn.XLOOKUP('תכנית לשופט זירה ראשי'!G11,TeamList[מס"ד],TeamList[מס'' הקבוצה]),"")</f>
        <v/>
      </c>
      <c r="G26" s="96" t="str">
        <f ca="1">IFERROR(_xlfn.XLOOKUP('תכנית לשופט זירה ראשי'!H11,TeamList[מס"ד],TeamList[מס'' הקבוצה]),"")</f>
        <v/>
      </c>
      <c r="H26" s="96">
        <f ca="1">IFERROR(_xlfn.XLOOKUP('תכנית לשופט זירה ראשי'!I11,TeamList[מס"ד],TeamList[מס'' הקבוצה]),"")</f>
        <v>3340</v>
      </c>
      <c r="I26" s="96">
        <f ca="1">IFERROR(_xlfn.XLOOKUP('תכנית לשופט זירה ראשי'!J11,TeamList[מס"ד],TeamList[מס'' הקבוצה]),"")</f>
        <v>1099</v>
      </c>
      <c r="J26" s="96">
        <f ca="1">IFERROR(_xlfn.XLOOKUP('תכנית לשופט זירה ראשי'!K11,TeamList[מס"ד],TeamList[מס'' הקבוצה]),"")</f>
        <v>2622</v>
      </c>
      <c r="K26" s="124">
        <f ca="1">IFERROR(_xlfn.XLOOKUP('תכנית לשופט זירה ראשי'!L11,TeamList[מס"ד],TeamList[מס'' הקבוצה]),"")</f>
        <v>1214</v>
      </c>
      <c r="L26" s="71"/>
      <c r="M26" s="121">
        <f t="shared" si="13"/>
        <v>44</v>
      </c>
      <c r="N26" s="122">
        <f t="shared" si="14"/>
        <v>0.61458333333333315</v>
      </c>
      <c r="O26" s="123">
        <f t="shared" si="9"/>
        <v>0.61666666666666647</v>
      </c>
      <c r="P26" s="96" t="str">
        <f ca="1">IFERROR(_xlfn.XLOOKUP('תכנית לשופט זירה ראשי'!E39,TeamList[מס"ד],TeamList[מס'' הקבוצה]),"")</f>
        <v/>
      </c>
      <c r="Q26" s="96" t="str">
        <f ca="1">IFERROR(_xlfn.XLOOKUP('תכנית לשופט זירה ראשי'!F39,TeamList[מס"ד],TeamList[מס'' הקבוצה]),"")</f>
        <v/>
      </c>
      <c r="R26" s="96" t="str">
        <f ca="1">IFERROR(_xlfn.XLOOKUP('תכנית לשופט זירה ראשי'!G39,TeamList[מס"ד],TeamList[מס'' הקבוצה]),"")</f>
        <v/>
      </c>
      <c r="S26" s="96" t="str">
        <f ca="1">IFERROR(_xlfn.XLOOKUP('תכנית לשופט זירה ראשי'!H39,TeamList[מס"ד],TeamList[מס'' הקבוצה]),"")</f>
        <v/>
      </c>
      <c r="T26" s="96">
        <f ca="1">IFERROR(_xlfn.XLOOKUP('תכנית לשופט זירה ראשי'!I39,TeamList[מס"ד],TeamList[מס'' הקבוצה]),"")</f>
        <v>662</v>
      </c>
      <c r="U26" s="96">
        <f ca="1">IFERROR(_xlfn.XLOOKUP('תכנית לשופט זירה ראשי'!J39,TeamList[מס"ד],TeamList[מס'' הקבוצה]),"")</f>
        <v>1333</v>
      </c>
      <c r="V26" s="96">
        <f ca="1">IFERROR(_xlfn.XLOOKUP('תכנית לשופט זירה ראשי'!K39,TeamList[מס"ד],TeamList[מס'' הקבוצה]),"")</f>
        <v>3182</v>
      </c>
      <c r="W26" s="124">
        <f ca="1">IFERROR(_xlfn.XLOOKUP('תכנית לשופט זירה ראשי'!L39,TeamList[מס"ד],TeamList[מס'' הקבוצה]),"")</f>
        <v>1301</v>
      </c>
    </row>
    <row r="27" spans="1:24" ht="18" customHeight="1" x14ac:dyDescent="0.65">
      <c r="A27" s="111">
        <f t="shared" si="10"/>
        <v>21</v>
      </c>
      <c r="B27" s="112">
        <f t="shared" si="11"/>
        <v>0.46874999999999989</v>
      </c>
      <c r="C27" s="113">
        <f t="shared" si="12"/>
        <v>0.47083333333333321</v>
      </c>
      <c r="D27" s="114">
        <f ca="1">IFERROR(_xlfn.XLOOKUP('תכנית לשופט זירה ראשי'!E12,TeamList[מס"ד],TeamList[מס'' הקבוצה]),"")</f>
        <v>3006</v>
      </c>
      <c r="E27" s="114">
        <f ca="1">IFERROR(_xlfn.XLOOKUP('תכנית לשופט זירה ראשי'!F12,TeamList[מס"ד],TeamList[מס'' הקבוצה]),"")</f>
        <v>2843</v>
      </c>
      <c r="F27" s="114">
        <f ca="1">IFERROR(_xlfn.XLOOKUP('תכנית לשופט זירה ראשי'!G12,TeamList[מס"ד],TeamList[מס'' הקבוצה]),"")</f>
        <v>3294</v>
      </c>
      <c r="G27" s="114">
        <f ca="1">IFERROR(_xlfn.XLOOKUP('תכנית לשופט זירה ראשי'!H12,TeamList[מס"ד],TeamList[מס'' הקבוצה]),"")</f>
        <v>2748</v>
      </c>
      <c r="H27" s="114" t="str">
        <f ca="1">IFERROR(_xlfn.XLOOKUP('תכנית לשופט זירה ראשי'!I12,TeamList[מס"ד],TeamList[מס'' הקבוצה]),"")</f>
        <v/>
      </c>
      <c r="I27" s="114" t="str">
        <f ca="1">IFERROR(_xlfn.XLOOKUP('תכנית לשופט זירה ראשי'!J12,TeamList[מס"ד],TeamList[מס'' הקבוצה]),"")</f>
        <v/>
      </c>
      <c r="J27" s="114" t="str">
        <f ca="1">IFERROR(_xlfn.XLOOKUP('תכנית לשופט זירה ראשי'!K12,TeamList[מס"ד],TeamList[מס'' הקבוצה]),"")</f>
        <v/>
      </c>
      <c r="K27" s="115" t="str">
        <f ca="1">IFERROR(_xlfn.XLOOKUP('תכנית לשופט זירה ראשי'!L12,TeamList[מס"ד],TeamList[מס'' הקבוצה]),"")</f>
        <v/>
      </c>
      <c r="L27" s="71"/>
      <c r="M27" s="111">
        <f t="shared" si="13"/>
        <v>45</v>
      </c>
      <c r="N27" s="112">
        <f t="shared" si="14"/>
        <v>0.61805555555555536</v>
      </c>
      <c r="O27" s="113">
        <f t="shared" si="9"/>
        <v>0.62013888888888868</v>
      </c>
      <c r="P27" s="114">
        <f ca="1">IFERROR(_xlfn.XLOOKUP('תכנית לשופט זירה ראשי'!E40,TeamList[מס"ד],TeamList[מס'' הקבוצה]),"")</f>
        <v>2622</v>
      </c>
      <c r="Q27" s="114">
        <f ca="1">IFERROR(_xlfn.XLOOKUP('תכנית לשופט זירה ראשי'!F40,TeamList[מס"ד],TeamList[מס'' הקבוצה]),"")</f>
        <v>1324</v>
      </c>
      <c r="R27" s="114">
        <f ca="1">IFERROR(_xlfn.XLOOKUP('תכנית לשופט זירה ראשי'!G40,TeamList[מס"ד],TeamList[מס'' הקבוצה]),"")</f>
        <v>1214</v>
      </c>
      <c r="S27" s="114">
        <f ca="1">IFERROR(_xlfn.XLOOKUP('תכנית לשופט זירה ראשי'!H40,TeamList[מס"ד],TeamList[מס'' הקבוצה]),"")</f>
        <v>1616</v>
      </c>
      <c r="T27" s="114" t="str">
        <f ca="1">IFERROR(_xlfn.XLOOKUP('תכנית לשופט זירה ראשי'!I40,TeamList[מס"ד],TeamList[מס'' הקבוצה]),"")</f>
        <v/>
      </c>
      <c r="U27" s="114" t="str">
        <f ca="1">IFERROR(_xlfn.XLOOKUP('תכנית לשופט זירה ראשי'!J40,TeamList[מס"ד],TeamList[מס'' הקבוצה]),"")</f>
        <v/>
      </c>
      <c r="V27" s="114" t="str">
        <f ca="1">IFERROR(_xlfn.XLOOKUP('תכנית לשופט זירה ראשי'!K40,TeamList[מס"ד],TeamList[מס'' הקבוצה]),"")</f>
        <v/>
      </c>
      <c r="W27" s="115" t="str">
        <f ca="1">IFERROR(_xlfn.XLOOKUP('תכנית לשופט זירה ראשי'!L40,TeamList[מס"ד],TeamList[מס'' הקבוצה]),"")</f>
        <v/>
      </c>
    </row>
    <row r="28" spans="1:24" ht="18" customHeight="1" x14ac:dyDescent="0.65">
      <c r="A28" s="121">
        <f t="shared" si="10"/>
        <v>22</v>
      </c>
      <c r="B28" s="122">
        <f t="shared" si="11"/>
        <v>0.4722222222222221</v>
      </c>
      <c r="C28" s="123">
        <f t="shared" si="12"/>
        <v>0.47430555555555542</v>
      </c>
      <c r="D28" s="96" t="str">
        <f ca="1">IFERROR(_xlfn.XLOOKUP('תכנית לשופט זירה ראשי'!E13,TeamList[מס"ד],TeamList[מס'' הקבוצה]),"")</f>
        <v/>
      </c>
      <c r="E28" s="96" t="str">
        <f ca="1">IFERROR(_xlfn.XLOOKUP('תכנית לשופט זירה ראשי'!F13,TeamList[מס"ד],TeamList[מס'' הקבוצה]),"")</f>
        <v/>
      </c>
      <c r="F28" s="96" t="str">
        <f ca="1">IFERROR(_xlfn.XLOOKUP('תכנית לשופט זירה ראשי'!G13,TeamList[מס"ד],TeamList[מס'' הקבוצה]),"")</f>
        <v/>
      </c>
      <c r="G28" s="96" t="str">
        <f ca="1">IFERROR(_xlfn.XLOOKUP('תכנית לשופט זירה ראשי'!H13,TeamList[מס"ד],TeamList[מס'' הקבוצה]),"")</f>
        <v/>
      </c>
      <c r="H28" s="96">
        <f ca="1">IFERROR(_xlfn.XLOOKUP('תכנית לשופט זירה ראשי'!I13,TeamList[מס"ד],TeamList[מס'' הקבוצה]),"")</f>
        <v>2130</v>
      </c>
      <c r="I28" s="96">
        <f ca="1">IFERROR(_xlfn.XLOOKUP('תכנית לשופט זירה ראשי'!J13,TeamList[מס"ד],TeamList[מס'' הקבוצה]),"")</f>
        <v>1720</v>
      </c>
      <c r="J28" s="96">
        <f ca="1">IFERROR(_xlfn.XLOOKUP('תכנית לשופט זירה ראשי'!K13,TeamList[מס"ד],TeamList[מס'' הקבוצה]),"")</f>
        <v>3184</v>
      </c>
      <c r="K28" s="124">
        <f ca="1">IFERROR(_xlfn.XLOOKUP('תכנית לשופט זירה ראשי'!L13,TeamList[מס"ד],TeamList[מס'' הקבוצה]),"")</f>
        <v>1332</v>
      </c>
      <c r="L28" s="71"/>
      <c r="M28" s="121">
        <f t="shared" si="13"/>
        <v>46</v>
      </c>
      <c r="N28" s="122">
        <f t="shared" si="14"/>
        <v>0.62152777777777757</v>
      </c>
      <c r="O28" s="123">
        <f t="shared" si="9"/>
        <v>0.62361111111111089</v>
      </c>
      <c r="P28" s="96" t="str">
        <f ca="1">IFERROR(_xlfn.XLOOKUP('תכנית לשופט זירה ראשי'!E41,TeamList[מס"ד],TeamList[מס'' הקבוצה]),"")</f>
        <v/>
      </c>
      <c r="Q28" s="96" t="str">
        <f ca="1">IFERROR(_xlfn.XLOOKUP('תכנית לשופט זירה ראשי'!F41,TeamList[מס"ד],TeamList[מס'' הקבוצה]),"")</f>
        <v/>
      </c>
      <c r="R28" s="96" t="str">
        <f ca="1">IFERROR(_xlfn.XLOOKUP('תכנית לשופט זירה ראשי'!G41,TeamList[מס"ד],TeamList[מס'' הקבוצה]),"")</f>
        <v/>
      </c>
      <c r="S28" s="96" t="str">
        <f ca="1">IFERROR(_xlfn.XLOOKUP('תכנית לשופט זירה ראשי'!H41,TeamList[מס"ד],TeamList[מס'' הקבוצה]),"")</f>
        <v/>
      </c>
      <c r="T28" s="96">
        <f ca="1">IFERROR(_xlfn.XLOOKUP('תכנית לשופט זירה ראשי'!I41,TeamList[מס"ד],TeamList[מס'' הקבוצה]),"")</f>
        <v>3340</v>
      </c>
      <c r="U28" s="96">
        <f ca="1">IFERROR(_xlfn.XLOOKUP('תכנית לשופט זירה ראשי'!J41,TeamList[מס"ד],TeamList[מס'' הקבוצה]),"")</f>
        <v>1300</v>
      </c>
      <c r="V28" s="96">
        <f ca="1">IFERROR(_xlfn.XLOOKUP('תכנית לשופט זירה ראשי'!K41,TeamList[מס"ד],TeamList[מס'' הקבוצה]),"")</f>
        <v>1099</v>
      </c>
      <c r="W28" s="124">
        <f ca="1">IFERROR(_xlfn.XLOOKUP('תכנית לשופט זירה ראשי'!L41,TeamList[מס"ד],TeamList[מס'' הקבוצה]),"")</f>
        <v>3128</v>
      </c>
    </row>
    <row r="29" spans="1:24" ht="18" customHeight="1" x14ac:dyDescent="0.65">
      <c r="A29" s="111">
        <f t="shared" si="10"/>
        <v>23</v>
      </c>
      <c r="B29" s="112">
        <f t="shared" si="11"/>
        <v>0.47569444444444431</v>
      </c>
      <c r="C29" s="113">
        <f t="shared" si="12"/>
        <v>0.47777777777777763</v>
      </c>
      <c r="D29" s="114">
        <f ca="1">IFERROR(_xlfn.XLOOKUP('תכנית לשופט זירה ראשי'!E14,TeamList[מס"ד],TeamList[מס'' הקבוצה]),"")</f>
        <v>1043</v>
      </c>
      <c r="E29" s="114">
        <f ca="1">IFERROR(_xlfn.XLOOKUP('תכנית לשופט זירה ראשי'!F14,TeamList[מס"ד],TeamList[מס'' הקבוצה]),"")</f>
        <v>2222</v>
      </c>
      <c r="F29" s="114">
        <f ca="1">IFERROR(_xlfn.XLOOKUP('תכנית לשופט זירה ראשי'!G14,TeamList[מס"ד],TeamList[מס'' הקבוצה]),"")</f>
        <v>3179</v>
      </c>
      <c r="G29" s="114">
        <f ca="1">IFERROR(_xlfn.XLOOKUP('תכנית לשופט זירה ראשי'!H14,TeamList[מס"ד],TeamList[מס'' הקבוצה]),"")</f>
        <v>2977</v>
      </c>
      <c r="H29" s="114" t="str">
        <f ca="1">IFERROR(_xlfn.XLOOKUP('תכנית לשופט זירה ראשי'!I14,TeamList[מס"ד],TeamList[מס'' הקבוצה]),"")</f>
        <v/>
      </c>
      <c r="I29" s="114" t="str">
        <f ca="1">IFERROR(_xlfn.XLOOKUP('תכנית לשופט זירה ראשי'!J14,TeamList[מס"ד],TeamList[מס'' הקבוצה]),"")</f>
        <v/>
      </c>
      <c r="J29" s="114" t="str">
        <f ca="1">IFERROR(_xlfn.XLOOKUP('תכנית לשופט זירה ראשי'!K14,TeamList[מס"ד],TeamList[מס'' הקבוצה]),"")</f>
        <v/>
      </c>
      <c r="K29" s="115" t="str">
        <f ca="1">IFERROR(_xlfn.XLOOKUP('תכנית לשופט זירה ראשי'!L14,TeamList[מס"ד],TeamList[מס'' הקבוצה]),"")</f>
        <v/>
      </c>
      <c r="L29" s="71"/>
      <c r="M29" s="111">
        <f t="shared" si="13"/>
        <v>47</v>
      </c>
      <c r="N29" s="112">
        <f t="shared" si="14"/>
        <v>0.62499999999999978</v>
      </c>
      <c r="O29" s="113">
        <f t="shared" si="9"/>
        <v>0.6270833333333331</v>
      </c>
      <c r="P29" s="114">
        <f ca="1">IFERROR(_xlfn.XLOOKUP('תכנית לשופט זירה ראשי'!E42,TeamList[מס"ד],TeamList[מס'' הקבוצה]),"")</f>
        <v>3184</v>
      </c>
      <c r="Q29" s="114">
        <f ca="1">IFERROR(_xlfn.XLOOKUP('תכנית לשופט זירה ראשי'!F42,TeamList[מס"ד],TeamList[מס'' הקבוצה]),"")</f>
        <v>3294</v>
      </c>
      <c r="R29" s="114">
        <f ca="1">IFERROR(_xlfn.XLOOKUP('תכנית לשופט זירה ראשי'!G42,TeamList[מס"ד],TeamList[מס'' הקבוצה]),"")</f>
        <v>1332</v>
      </c>
      <c r="S29" s="114">
        <f ca="1">IFERROR(_xlfn.XLOOKUP('תכנית לשופט זירה ראשי'!H42,TeamList[מס"ד],TeamList[מס'' הקבוצה]),"")</f>
        <v>2748</v>
      </c>
      <c r="T29" s="114" t="str">
        <f ca="1">IFERROR(_xlfn.XLOOKUP('תכנית לשופט זירה ראשי'!I42,TeamList[מס"ד],TeamList[מס'' הקבוצה]),"")</f>
        <v/>
      </c>
      <c r="U29" s="114" t="str">
        <f ca="1">IFERROR(_xlfn.XLOOKUP('תכנית לשופט זירה ראשי'!J42,TeamList[מס"ד],TeamList[מס'' הקבוצה]),"")</f>
        <v/>
      </c>
      <c r="V29" s="114" t="str">
        <f ca="1">IFERROR(_xlfn.XLOOKUP('תכנית לשופט זירה ראשי'!K42,TeamList[מס"ד],TeamList[מס'' הקבוצה]),"")</f>
        <v/>
      </c>
      <c r="W29" s="115" t="str">
        <f ca="1">IFERROR(_xlfn.XLOOKUP('תכנית לשופט זירה ראשי'!L42,TeamList[מס"ד],TeamList[מס'' הקבוצה]),"")</f>
        <v/>
      </c>
    </row>
    <row r="30" spans="1:24" ht="18" customHeight="1" thickBot="1" x14ac:dyDescent="0.8">
      <c r="A30" s="121">
        <f t="shared" si="10"/>
        <v>24</v>
      </c>
      <c r="B30" s="122">
        <f t="shared" si="11"/>
        <v>0.47916666666666652</v>
      </c>
      <c r="C30" s="123">
        <f t="shared" si="12"/>
        <v>0.48124999999999984</v>
      </c>
      <c r="D30" s="125" t="str">
        <f ca="1">IFERROR(_xlfn.XLOOKUP('תכנית לשופט זירה ראשי'!E15,TeamList[מס"ד],TeamList[מס'' הקבוצה]),"")</f>
        <v/>
      </c>
      <c r="E30" s="125" t="str">
        <f ca="1">IFERROR(_xlfn.XLOOKUP('תכנית לשופט זירה ראשי'!F15,TeamList[מס"ד],TeamList[מס'' הקבוצה]),"")</f>
        <v/>
      </c>
      <c r="F30" s="125" t="str">
        <f ca="1">IFERROR(_xlfn.XLOOKUP('תכנית לשופט זירה ראשי'!G15,TeamList[מס"ד],TeamList[מס'' הקבוצה]),"")</f>
        <v/>
      </c>
      <c r="G30" s="125" t="str">
        <f ca="1">IFERROR(_xlfn.XLOOKUP('תכנית לשופט זירה ראשי'!H15,TeamList[מס"ד],TeamList[מס'' הקבוצה]),"")</f>
        <v/>
      </c>
      <c r="H30" s="125">
        <f ca="1">IFERROR(_xlfn.XLOOKUP('תכנית לשופט זירה ראשי'!I15,TeamList[מס"ד],TeamList[מס'' הקבוצה]),"")</f>
        <v>341</v>
      </c>
      <c r="I30" s="125">
        <f ca="1">IFERROR(_xlfn.XLOOKUP('תכנית לשופט זירה ראשי'!J15,TeamList[מס"ד],TeamList[מס'' הקבוצה]),"")</f>
        <v>3181</v>
      </c>
      <c r="J30" s="125">
        <f ca="1">IFERROR(_xlfn.XLOOKUP('תכנית לשופט זירה ראשי'!K15,TeamList[מס"ד],TeamList[מס'' הקבוצה]),"")</f>
        <v>3146</v>
      </c>
      <c r="K30" s="126">
        <f ca="1">IFERROR(_xlfn.XLOOKUP('תכנית לשופט זירה ראשי'!L15,TeamList[מס"ד],TeamList[מס'' הקבוצה]),"")</f>
        <v>1083</v>
      </c>
      <c r="L30" s="71"/>
      <c r="M30" s="127">
        <f t="shared" si="13"/>
        <v>48</v>
      </c>
      <c r="N30" s="128">
        <f t="shared" si="14"/>
        <v>0.62847222222222199</v>
      </c>
      <c r="O30" s="129">
        <f>N30+TIME(0,3,0)</f>
        <v>0.63055555555555531</v>
      </c>
      <c r="P30" s="130" t="str">
        <f ca="1">IFERROR(_xlfn.XLOOKUP('תכנית לשופט זירה ראשי'!E43,TeamList[מס"ד],TeamList[מס'' הקבוצה]),"")</f>
        <v/>
      </c>
      <c r="Q30" s="130" t="str">
        <f ca="1">IFERROR(_xlfn.XLOOKUP('תכנית לשופט זירה ראשי'!F43,TeamList[מס"ד],TeamList[מס'' הקבוצה]),"")</f>
        <v/>
      </c>
      <c r="R30" s="130" t="str">
        <f ca="1">IFERROR(_xlfn.XLOOKUP('תכנית לשופט זירה ראשי'!G43,TeamList[מס"ד],TeamList[מס'' הקבוצה]),"")</f>
        <v/>
      </c>
      <c r="S30" s="130" t="str">
        <f ca="1">IFERROR(_xlfn.XLOOKUP('תכנית לשופט זירה ראשי'!H43,TeamList[מס"ד],TeamList[מס'' הקבוצה]),"")</f>
        <v/>
      </c>
      <c r="T30" s="130">
        <f ca="1">IFERROR(_xlfn.XLOOKUP('תכנית לשופט זירה ראשי'!I43,TeamList[מס"ד],TeamList[מס'' הקבוצה]),"")</f>
        <v>2130</v>
      </c>
      <c r="U30" s="130">
        <f ca="1">IFERROR(_xlfn.XLOOKUP('תכנית לשופט זירה ראשי'!J43,TeamList[מס"ד],TeamList[מס'' הקבוצה]),"")</f>
        <v>3006</v>
      </c>
      <c r="V30" s="130">
        <f ca="1">IFERROR(_xlfn.XLOOKUP('תכנית לשופט זירה ראשי'!K43,TeamList[מס"ד],TeamList[מס'' הקבוצה]),"")</f>
        <v>1720</v>
      </c>
      <c r="W30" s="131">
        <f ca="1">IFERROR(_xlfn.XLOOKUP('תכנית לשופט זירה ראשי'!L43,TeamList[מס"ד],TeamList[מס'' הקבוצה]),"")</f>
        <v>2843</v>
      </c>
    </row>
    <row r="31" spans="1:24" ht="18" customHeight="1" thickBot="1" x14ac:dyDescent="0.8">
      <c r="A31" s="101"/>
      <c r="B31" s="132">
        <f>_xlfn.XLOOKUP(N,break_scheduler['# of teams],break_scheduler[Round 1 end])</f>
        <v>0.4826388888888889</v>
      </c>
      <c r="C31" s="133">
        <f>_xlfn.XLOOKUP(N,break_scheduler['# of teams],break_scheduler[Round 2 start])</f>
        <v>0.51388888888888884</v>
      </c>
      <c r="D31" s="245" t="s">
        <v>26</v>
      </c>
      <c r="E31" s="246"/>
      <c r="F31" s="246"/>
      <c r="G31" s="246"/>
      <c r="H31" s="246"/>
      <c r="I31" s="246"/>
      <c r="J31" s="246"/>
      <c r="K31" s="247"/>
      <c r="L31" s="71"/>
      <c r="M31"/>
      <c r="N31"/>
      <c r="O31"/>
    </row>
    <row r="32" spans="1:24" ht="18" customHeight="1" x14ac:dyDescent="0.7"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</row>
    <row r="33" spans="1:24" ht="18" customHeight="1" x14ac:dyDescent="0.7"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</row>
    <row r="34" spans="1:24" ht="18" customHeight="1" x14ac:dyDescent="0.7">
      <c r="L34" s="71"/>
      <c r="M34" s="71"/>
      <c r="N34" s="79"/>
      <c r="O34" s="79"/>
      <c r="P34" s="79"/>
      <c r="Q34" s="79"/>
      <c r="R34" s="79"/>
      <c r="S34" s="79"/>
      <c r="T34" s="79"/>
      <c r="U34" s="79"/>
      <c r="V34" s="79"/>
      <c r="W34" s="79"/>
    </row>
    <row r="35" spans="1:24" s="4" customFormat="1" ht="18" customHeight="1" x14ac:dyDescent="0.7">
      <c r="L35" s="79"/>
      <c r="M35" s="134"/>
      <c r="N35" s="135"/>
      <c r="O35" s="135"/>
      <c r="P35" s="136"/>
      <c r="Q35" s="136"/>
      <c r="R35" s="136"/>
      <c r="S35" s="136"/>
      <c r="T35" s="136"/>
      <c r="U35" s="136"/>
      <c r="V35" s="136"/>
      <c r="W35" s="136"/>
    </row>
    <row r="36" spans="1:24" s="4" customFormat="1" ht="18" customHeight="1" x14ac:dyDescent="0.65">
      <c r="L36" s="79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/>
    </row>
    <row r="37" spans="1:24" ht="18" customHeight="1" x14ac:dyDescent="0.7"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</row>
    <row r="38" spans="1:24" ht="18" customHeight="1" x14ac:dyDescent="0.7"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</row>
    <row r="39" spans="1:24" ht="18" customHeight="1" x14ac:dyDescent="0.7"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</row>
    <row r="40" spans="1:24" ht="18" customHeight="1" x14ac:dyDescent="0.7"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</row>
    <row r="41" spans="1:24" ht="18" customHeight="1" x14ac:dyDescent="0.7"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</row>
    <row r="42" spans="1:24" ht="18" customHeight="1" x14ac:dyDescent="0.7"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</row>
    <row r="43" spans="1:24" ht="18" customHeight="1" x14ac:dyDescent="0.7"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</row>
    <row r="44" spans="1:24" ht="18.649999999999999" customHeight="1" x14ac:dyDescent="0.7"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</row>
    <row r="45" spans="1:24" ht="18.649999999999999" customHeight="1" x14ac:dyDescent="0.7"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</row>
    <row r="46" spans="1:24" ht="18.649999999999999" customHeight="1" x14ac:dyDescent="0.7"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</row>
    <row r="47" spans="1:24" ht="18.649999999999999" customHeight="1" x14ac:dyDescent="0.65">
      <c r="A47"/>
      <c r="B47"/>
      <c r="C47"/>
      <c r="M47"/>
      <c r="N47"/>
      <c r="O47"/>
    </row>
    <row r="48" spans="1:24" ht="18.649999999999999" customHeight="1" x14ac:dyDescent="0.65">
      <c r="A48"/>
      <c r="B48"/>
      <c r="C48"/>
      <c r="M48"/>
      <c r="N48"/>
      <c r="O48"/>
    </row>
    <row r="49" customFormat="1" ht="18.649999999999999" customHeight="1" x14ac:dyDescent="0.65"/>
    <row r="50" customFormat="1" ht="18.649999999999999" customHeight="1" x14ac:dyDescent="0.65"/>
    <row r="51" customFormat="1" ht="18.649999999999999" customHeight="1" x14ac:dyDescent="0.65"/>
    <row r="52" customFormat="1" ht="18.649999999999999" customHeight="1" x14ac:dyDescent="0.65"/>
    <row r="53" customFormat="1" ht="18.649999999999999" customHeight="1" x14ac:dyDescent="0.65"/>
    <row r="54" customFormat="1" ht="18.649999999999999" customHeight="1" x14ac:dyDescent="0.65"/>
    <row r="55" customFormat="1" ht="18.649999999999999" customHeight="1" x14ac:dyDescent="0.65"/>
    <row r="56" customFormat="1" ht="18.649999999999999" customHeight="1" x14ac:dyDescent="0.65"/>
    <row r="57" customFormat="1" ht="18.649999999999999" customHeight="1" x14ac:dyDescent="0.65"/>
    <row r="58" customFormat="1" ht="30" customHeight="1" x14ac:dyDescent="0.65"/>
    <row r="59" customFormat="1" ht="18.649999999999999" customHeight="1" x14ac:dyDescent="0.65"/>
    <row r="60" customFormat="1" ht="18.649999999999999" customHeight="1" x14ac:dyDescent="0.65"/>
    <row r="61" customFormat="1" ht="18.649999999999999" customHeight="1" x14ac:dyDescent="0.65"/>
    <row r="62" customFormat="1" ht="18.649999999999999" customHeight="1" x14ac:dyDescent="0.65"/>
    <row r="63" customFormat="1" ht="18.649999999999999" customHeight="1" x14ac:dyDescent="0.65"/>
    <row r="64" customFormat="1" ht="18.649999999999999" customHeight="1" x14ac:dyDescent="0.65"/>
    <row r="65" spans="1:15" ht="18.649999999999999" customHeight="1" x14ac:dyDescent="0.65">
      <c r="A65"/>
      <c r="B65"/>
      <c r="C65"/>
      <c r="M65"/>
      <c r="N65"/>
      <c r="O65"/>
    </row>
    <row r="66" spans="1:15" ht="18.649999999999999" customHeight="1" x14ac:dyDescent="0.65">
      <c r="A66"/>
      <c r="B66"/>
      <c r="C66"/>
      <c r="M66"/>
      <c r="N66"/>
      <c r="O66"/>
    </row>
    <row r="67" spans="1:15" ht="18.649999999999999" customHeight="1" x14ac:dyDescent="0.65">
      <c r="A67"/>
      <c r="B67"/>
      <c r="C67"/>
      <c r="M67"/>
      <c r="N67"/>
      <c r="O67"/>
    </row>
    <row r="68" spans="1:15" ht="18.649999999999999" customHeight="1" x14ac:dyDescent="0.65">
      <c r="A68"/>
      <c r="B68"/>
      <c r="C68"/>
      <c r="M68"/>
      <c r="N68"/>
      <c r="O68"/>
    </row>
    <row r="69" spans="1:15" ht="18.649999999999999" customHeight="1" x14ac:dyDescent="0.65">
      <c r="A69"/>
      <c r="B69"/>
      <c r="C69"/>
      <c r="M69"/>
      <c r="N69"/>
      <c r="O69"/>
    </row>
    <row r="70" spans="1:15" ht="18.649999999999999" customHeight="1" x14ac:dyDescent="0.65">
      <c r="A70"/>
      <c r="B70"/>
      <c r="C70"/>
      <c r="M70"/>
      <c r="N70"/>
      <c r="O70"/>
    </row>
    <row r="71" spans="1:15" ht="18.649999999999999" customHeight="1" x14ac:dyDescent="0.65">
      <c r="A71"/>
      <c r="B71"/>
      <c r="C71"/>
      <c r="M71"/>
      <c r="N71"/>
      <c r="O71"/>
    </row>
    <row r="72" spans="1:15" ht="18.649999999999999" customHeight="1" x14ac:dyDescent="0.7">
      <c r="M72"/>
      <c r="N72"/>
      <c r="O72"/>
    </row>
    <row r="73" spans="1:15" ht="18.649999999999999" customHeight="1" x14ac:dyDescent="0.7">
      <c r="M73"/>
      <c r="N73"/>
      <c r="O73"/>
    </row>
  </sheetData>
  <mergeCells count="13">
    <mergeCell ref="J1:K1"/>
    <mergeCell ref="V1:W1"/>
    <mergeCell ref="A1:E1"/>
    <mergeCell ref="F1:G1"/>
    <mergeCell ref="M1:Q1"/>
    <mergeCell ref="R1:S1"/>
    <mergeCell ref="P16:W16"/>
    <mergeCell ref="M17:W17"/>
    <mergeCell ref="D31:K31"/>
    <mergeCell ref="D16:K16"/>
    <mergeCell ref="A2:K2"/>
    <mergeCell ref="A17:K17"/>
    <mergeCell ref="M2:W2"/>
  </mergeCells>
  <printOptions horizontalCentered="1" verticalCentered="1"/>
  <pageMargins left="0.3" right="0.27" top="0.52" bottom="7.874015748031496E-2" header="0.19685039370078741" footer="0.15748031496062992"/>
  <pageSetup paperSize="9" scale="7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51B9A-46B1-4521-BBC0-884985EE4DF9}">
  <sheetPr>
    <pageSetUpPr fitToPage="1"/>
  </sheetPr>
  <dimension ref="A1:S18"/>
  <sheetViews>
    <sheetView rightToLeft="1" workbookViewId="0">
      <selection activeCell="L1" sqref="L1"/>
    </sheetView>
  </sheetViews>
  <sheetFormatPr defaultRowHeight="14.25" x14ac:dyDescent="0.65"/>
  <sheetData>
    <row r="1" spans="1:19" ht="33" customHeight="1" thickBot="1" x14ac:dyDescent="0.8">
      <c r="A1" s="251" t="s">
        <v>39</v>
      </c>
      <c r="B1" s="251"/>
      <c r="C1" s="251"/>
      <c r="D1" s="251"/>
      <c r="E1" s="251"/>
      <c r="F1" s="251" t="str">
        <f>'רשימת הקבוצות'!C1</f>
        <v>מוקדמות מס'</v>
      </c>
      <c r="G1" s="251"/>
      <c r="H1" s="78" t="str">
        <f>'רשימת הקבוצות'!D1</f>
        <v>4   בית אדום</v>
      </c>
      <c r="I1" s="195"/>
      <c r="J1" s="195"/>
      <c r="K1" s="195"/>
      <c r="L1" s="195"/>
      <c r="M1" s="195"/>
      <c r="N1" s="195"/>
      <c r="O1" s="244">
        <f>'רשימת הקבוצות'!E1</f>
        <v>44965</v>
      </c>
      <c r="P1" s="244"/>
      <c r="S1" s="78"/>
    </row>
    <row r="2" spans="1:19" ht="30.65" customHeight="1" thickTop="1" thickBot="1" x14ac:dyDescent="0.8">
      <c r="A2" s="252" t="s">
        <v>155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</row>
    <row r="3" spans="1:19" ht="28.2" customHeight="1" thickBot="1" x14ac:dyDescent="0.8">
      <c r="A3" s="102" t="s">
        <v>30</v>
      </c>
      <c r="B3" s="103" t="s">
        <v>22</v>
      </c>
      <c r="C3" s="103" t="s">
        <v>23</v>
      </c>
      <c r="D3" s="253" t="s">
        <v>157</v>
      </c>
      <c r="E3" s="254"/>
      <c r="F3" s="255" t="s">
        <v>158</v>
      </c>
      <c r="G3" s="255"/>
      <c r="H3" s="255" t="s">
        <v>159</v>
      </c>
      <c r="I3" s="255"/>
      <c r="J3" s="255" t="s">
        <v>160</v>
      </c>
      <c r="K3" s="255"/>
      <c r="L3" s="255" t="s">
        <v>161</v>
      </c>
      <c r="M3" s="255"/>
      <c r="N3" s="255" t="s">
        <v>162</v>
      </c>
      <c r="O3" s="255"/>
      <c r="P3" s="255" t="s">
        <v>164</v>
      </c>
      <c r="Q3" s="255"/>
      <c r="R3" s="256" t="s">
        <v>163</v>
      </c>
      <c r="S3" s="257"/>
    </row>
    <row r="4" spans="1:19" ht="26.4" customHeight="1" x14ac:dyDescent="0.65">
      <c r="A4" s="111">
        <f>RM*4+1</f>
        <v>49</v>
      </c>
      <c r="B4" s="112">
        <f>tournament</f>
        <v>0.66666666666666663</v>
      </c>
      <c r="C4" s="113">
        <f t="shared" ref="C4:C9" si="0">B4+TIME(0,3,0)</f>
        <v>0.66874999999999996</v>
      </c>
      <c r="D4" s="114" cm="1">
        <f t="array" ref="D4">IFERROR(_xlfn.XLOOKUP(INDEX(Table135[מס"ד],MATCH($A4&amp;"1 אדום",Table135[מקצה]&amp;Table135[שולחן],0)),TeamList[מס"ד],TeamList[מס'' הקבוצה]),"")</f>
        <v>3163</v>
      </c>
      <c r="E4" s="187" cm="1">
        <f t="array" ref="E4">IFERROR(_xlfn.XLOOKUP(INDEX(Table135[מס"ד],MATCH($A4&amp;"1 אדום",Table135[מקצה]&amp;Table135[שולחן],0)),TeamList2[מס"ד],TeamList2[מס'' הקבוצה]),"")</f>
        <v>2476</v>
      </c>
      <c r="F4" s="114" cm="1">
        <f t="array" ref="F4">IFERROR(_xlfn.XLOOKUP(INDEX(Table135[מס"ד],MATCH($A4&amp;"2 אדום",Table135[מקצה]&amp;Table135[שולחן],0)),TeamList[מס"ד],TeamList[מס'' הקבוצה]),"")</f>
        <v>3185</v>
      </c>
      <c r="G4" s="187" cm="1">
        <f t="array" ref="G4">IFERROR(_xlfn.XLOOKUP(INDEX(Table135[מס"ד],MATCH($A4&amp;"2 אדום",Table135[מקצה]&amp;Table135[שולחן],0)),TeamList2[מס"ד],TeamList2[מס'' הקבוצה]),"")</f>
        <v>2649</v>
      </c>
      <c r="H4" s="114" cm="1">
        <f t="array" ref="H4">IFERROR(_xlfn.XLOOKUP(INDEX(Table135[מס"ד],MATCH($A4&amp;"3 אדום",Table135[מקצה]&amp;Table135[שולחן],0)),TeamList[מס"ד],TeamList[מס'' הקבוצה]),"")</f>
        <v>2840</v>
      </c>
      <c r="I4" s="187" cm="1">
        <f t="array" ref="I4">IFERROR(_xlfn.XLOOKUP(INDEX(Table135[מס"ד],MATCH($A4&amp;"3 אדום",Table135[מקצה]&amp;Table135[שולחן],0)),TeamList2[מס"ד],TeamList2[מס'' הקבוצה]),"")</f>
        <v>3251</v>
      </c>
      <c r="J4" s="114" cm="1">
        <f t="array" ref="J4">IFERROR(_xlfn.XLOOKUP(INDEX(Table135[מס"ד],MATCH($A4&amp;"4 אדום",Table135[מקצה]&amp;Table135[שולחן],0)),TeamList[מס"ד],TeamList[מס'' הקבוצה]),"")</f>
        <v>1300</v>
      </c>
      <c r="K4" s="187" cm="1">
        <f t="array" ref="K4">IFERROR(_xlfn.XLOOKUP(INDEX(Table135[מס"ד],MATCH($A4&amp;"4 אדום",Table135[מקצה]&amp;Table135[שולחן],0)),TeamList2[מס"ד],TeamList2[מס'' הקבוצה]),"")</f>
        <v>973</v>
      </c>
      <c r="L4" s="114" cm="1">
        <f t="array" ref="L4">IFERROR(_xlfn.XLOOKUP(INDEX(Table135[מס"ד],MATCH($A4&amp;"1 כחול",Table135[מקצה]&amp;Table135[שולחן],0)),TeamList[מס"ד],TeamList[מס'' הקבוצה]),"")</f>
        <v>2623</v>
      </c>
      <c r="M4" s="187" cm="1">
        <f t="array" ref="M4">IFERROR(_xlfn.XLOOKUP(INDEX(Table135[מס"ד],MATCH($A4&amp;"1 כחול",Table135[מקצה]&amp;Table135[שולחן],0)),TeamList2[מס"ד],TeamList2[מס'' הקבוצה]),"")</f>
        <v>3022</v>
      </c>
      <c r="N4" s="114" cm="1">
        <f t="array" ref="N4">IFERROR(_xlfn.XLOOKUP(INDEX(Table135[מס"ד],MATCH($A4&amp;"2 כחול",Table135[מקצה]&amp;Table135[שולחן],0)),TeamList[מס"ד],TeamList[מס'' הקבוצה]),"")</f>
        <v>341</v>
      </c>
      <c r="O4" s="187" cm="1">
        <f t="array" ref="O4">IFERROR(_xlfn.XLOOKUP(INDEX(Table135[מס"ד],MATCH($A4&amp;"2 כחול",Table135[מקצה]&amp;Table135[שולחן],0)),TeamList2[מס"ד],TeamList2[מס'' הקבוצה]),"")</f>
        <v>1331</v>
      </c>
      <c r="P4" s="114" cm="1">
        <f t="array" ref="P4">IFERROR(_xlfn.XLOOKUP(INDEX(Table135[מס"ד],MATCH($A4&amp;"3 כחול",Table135[מקצה]&amp;Table135[שולחן],0)),TeamList[מס"ד],TeamList[מס'' הקבוצה]),"")</f>
        <v>1301</v>
      </c>
      <c r="Q4" s="187" cm="1">
        <f t="array" ref="Q4">IFERROR(_xlfn.XLOOKUP(INDEX(Table135[מס"ד],MATCH($A4&amp;"3 כחול",Table135[מקצה]&amp;Table135[שולחן],0)),TeamList2[מס"ד],TeamList2[מס'' הקבוצה]),"")</f>
        <v>888</v>
      </c>
      <c r="R4" s="114" cm="1">
        <f t="array" ref="R4">IFERROR(_xlfn.XLOOKUP(INDEX(Table135[מס"ד],MATCH($A4&amp;"4 כחול",Table135[מקצה]&amp;Table135[שולחן],0)),TeamList[מס"ד],TeamList[מס'' הקבוצה]),"")</f>
        <v>2748</v>
      </c>
      <c r="S4" s="115" cm="1">
        <f t="array" ref="S4">IFERROR(_xlfn.XLOOKUP(INDEX(Table135[מס"ד],MATCH($A4&amp;"4 כחול",Table135[מקצה]&amp;Table135[שולחן],0)),TeamList2[מס"ד],TeamList2[מס'' הקבוצה]),"")</f>
        <v>2918</v>
      </c>
    </row>
    <row r="5" spans="1:19" ht="26.4" customHeight="1" x14ac:dyDescent="0.65">
      <c r="A5" s="121">
        <f>A4+1</f>
        <v>50</v>
      </c>
      <c r="B5" s="122">
        <f>B4+ORM</f>
        <v>0.67013888888888884</v>
      </c>
      <c r="C5" s="123">
        <f t="shared" si="0"/>
        <v>0.67222222222222217</v>
      </c>
      <c r="D5" s="96" t="str" cm="1">
        <f t="array" ref="D5">IFERROR(_xlfn.XLOOKUP(INDEX(Table135[מס"ד],MATCH($A5&amp;"1 אדום",Table135[מקצה]&amp;Table135[שולחן],0)),TeamList[מס"ד],TeamList[מס'' הקבוצה]),"")</f>
        <v/>
      </c>
      <c r="E5" s="188" t="str" cm="1">
        <f t="array" ref="E5">IFERROR(_xlfn.XLOOKUP(INDEX(Table135[מס"ד],MATCH($A5&amp;"1 אדום",Table135[מקצה]&amp;Table135[שולחן],0)),TeamList2[מס"ד],TeamList2[מס'' הקבוצה]),"")</f>
        <v/>
      </c>
      <c r="F5" s="96" t="str" cm="1">
        <f t="array" ref="F5">IFERROR(_xlfn.XLOOKUP(INDEX(Table135[מס"ד],MATCH($A5&amp;"2 אדום",Table135[מקצה]&amp;Table135[שולחן],0)),TeamList[מס"ד],TeamList[מס'' הקבוצה]),"")</f>
        <v/>
      </c>
      <c r="G5" s="188" t="str" cm="1">
        <f t="array" ref="G5">IFERROR(_xlfn.XLOOKUP(INDEX(Table135[מס"ד],MATCH($A5&amp;"2 אדום",Table135[מקצה]&amp;Table135[שולחן],0)),TeamList2[מס"ד],TeamList2[מס'' הקבוצה]),"")</f>
        <v/>
      </c>
      <c r="H5" s="96" t="str" cm="1">
        <f t="array" ref="H5">IFERROR(_xlfn.XLOOKUP(INDEX(Table135[מס"ד],MATCH($A5&amp;"3 אדום",Table135[מקצה]&amp;Table135[שולחן],0)),TeamList[מס"ד],TeamList[מס'' הקבוצה]),"")</f>
        <v/>
      </c>
      <c r="I5" s="188" t="str" cm="1">
        <f t="array" ref="I5">IFERROR(_xlfn.XLOOKUP(INDEX(Table135[מס"ד],MATCH($A5&amp;"3 אדום",Table135[מקצה]&amp;Table135[שולחן],0)),TeamList2[מס"ד],TeamList2[מס'' הקבוצה]),"")</f>
        <v/>
      </c>
      <c r="J5" s="96" t="str" cm="1">
        <f t="array" ref="J5">IFERROR(_xlfn.XLOOKUP(INDEX(Table135[מס"ד],MATCH($A5&amp;"4 אדום",Table135[מקצה]&amp;Table135[שולחן],0)),TeamList[מס"ד],TeamList[מס'' הקבוצה]),"")</f>
        <v/>
      </c>
      <c r="K5" s="188" t="str" cm="1">
        <f t="array" ref="K5">IFERROR(_xlfn.XLOOKUP(INDEX(Table135[מס"ד],MATCH($A5&amp;"1 אדום",Table135[מקצה]&amp;Table135[שולחן],0)),TeamList2[מס"ד],TeamList2[מס'' הקבוצה]),"")</f>
        <v/>
      </c>
      <c r="L5" s="96" t="str" cm="1">
        <f t="array" ref="L5">IFERROR(_xlfn.XLOOKUP(INDEX(Table135[מס"ד],MATCH($A5&amp;"1 כחול",Table135[מקצה]&amp;Table135[שולחן],0)),TeamList[מס"ד],TeamList[מס'' הקבוצה]),"")</f>
        <v/>
      </c>
      <c r="M5" s="188" t="str" cm="1">
        <f t="array" ref="M5">IFERROR(_xlfn.XLOOKUP(INDEX(Table135[מס"ד],MATCH($A5&amp;"1 כחול",Table135[מקצה]&amp;Table135[שולחן],0)),TeamList2[מס"ד],TeamList2[מס'' הקבוצה]),"")</f>
        <v/>
      </c>
      <c r="N5" s="96" t="str" cm="1">
        <f t="array" ref="N5">IFERROR(_xlfn.XLOOKUP(INDEX(Table135[מס"ד],MATCH($A5&amp;"2 כחול",Table135[מקצה]&amp;Table135[שולחן],0)),TeamList[מס"ד],TeamList[מס'' הקבוצה]),"")</f>
        <v/>
      </c>
      <c r="O5" s="188" t="str" cm="1">
        <f t="array" ref="O5">IFERROR(_xlfn.XLOOKUP(INDEX(Table135[מס"ד],MATCH($A5&amp;"2 כחול",Table135[מקצה]&amp;Table135[שולחן],0)),TeamList2[מס"ד],TeamList2[מס'' הקבוצה]),"")</f>
        <v/>
      </c>
      <c r="P5" s="96" t="str" cm="1">
        <f t="array" ref="P5">IFERROR(_xlfn.XLOOKUP(INDEX(Table135[מס"ד],MATCH($A5&amp;"3 כחול",Table135[מקצה]&amp;Table135[שולחן],0)),TeamList[מס"ד],TeamList[מס'' הקבוצה]),"")</f>
        <v/>
      </c>
      <c r="Q5" s="188" t="str" cm="1">
        <f t="array" ref="Q5">IFERROR(_xlfn.XLOOKUP(INDEX(Table135[מס"ד],MATCH($A5&amp;"3 כחול",Table135[מקצה]&amp;Table135[שולחן],0)),TeamList2[מס"ד],TeamList2[מס'' הקבוצה]),"")</f>
        <v/>
      </c>
      <c r="R5" s="96" t="str" cm="1">
        <f t="array" ref="R5">IFERROR(_xlfn.XLOOKUP(INDEX(Table135[מס"ד],MATCH($A5&amp;"4 כחול",Table135[מקצה]&amp;Table135[שולחן],0)),TeamList[מס"ד],TeamList[מס'' הקבוצה]),"")</f>
        <v/>
      </c>
      <c r="S5" s="124" t="str" cm="1">
        <f t="array" ref="S5">IFERROR(_xlfn.XLOOKUP(INDEX(Table135[מס"ד],MATCH($A5&amp;"1 כחול",Table135[מקצה]&amp;Table135[שולחן],0)),TeamList2[מס"ד],TeamList2[מס'' הקבוצה]),"")</f>
        <v/>
      </c>
    </row>
    <row r="6" spans="1:19" ht="26.4" customHeight="1" x14ac:dyDescent="0.65">
      <c r="A6" s="111">
        <f>A5+1</f>
        <v>51</v>
      </c>
      <c r="B6" s="112">
        <f>B5+ORM</f>
        <v>0.67361111111111105</v>
      </c>
      <c r="C6" s="113">
        <f t="shared" si="0"/>
        <v>0.67569444444444438</v>
      </c>
      <c r="D6" s="114" cm="1">
        <f t="array" ref="D6">IFERROR(_xlfn.XLOOKUP(INDEX(Table135[מס"ד],MATCH($A6&amp;"1 אדום",Table135[מקצה]&amp;Table135[שולחן],0)),TeamList[מס"ד],TeamList[מס'' הקבוצה]),"")</f>
        <v>1042</v>
      </c>
      <c r="E6" s="187" cm="1">
        <f t="array" ref="E6">IFERROR(_xlfn.XLOOKUP(INDEX(Table135[מס"ד],MATCH($A6&amp;"1 אדום",Table135[מקצה]&amp;Table135[שולחן],0)),TeamList2[מס"ד],TeamList2[מס'' הקבוצה]),"")</f>
        <v>696</v>
      </c>
      <c r="F6" s="114" cm="1">
        <f t="array" ref="F6">IFERROR(_xlfn.XLOOKUP(INDEX(Table135[מס"ד],MATCH($A6&amp;"2 אדום",Table135[מקצה]&amp;Table135[שולחן],0)),TeamList[מס"ד],TeamList[מס'' הקבוצה]),"")</f>
        <v>3146</v>
      </c>
      <c r="G6" s="187" cm="1">
        <f t="array" ref="G6">IFERROR(_xlfn.XLOOKUP(INDEX(Table135[מס"ד],MATCH($A6&amp;"2 אדום",Table135[מקצה]&amp;Table135[שולחן],0)),TeamList2[מס"ד],TeamList2[מס'' הקבוצה]),"")</f>
        <v>2333</v>
      </c>
      <c r="H6" s="114" cm="1">
        <f t="array" ref="H6">IFERROR(_xlfn.XLOOKUP(INDEX(Table135[מס"ד],MATCH($A6&amp;"3 אדום",Table135[מקצה]&amp;Table135[שולחן],0)),TeamList[מס"ד],TeamList[מס'' הקבוצה]),"")</f>
        <v>240</v>
      </c>
      <c r="I6" s="187" cm="1">
        <f t="array" ref="I6">IFERROR(_xlfn.XLOOKUP(INDEX(Table135[מס"ד],MATCH($A6&amp;"3 אדום",Table135[מקצה]&amp;Table135[שולחן],0)),TeamList2[מס"ד],TeamList2[מס'' הקבוצה]),"")</f>
        <v>2848</v>
      </c>
      <c r="J6" s="114" cm="1">
        <f t="array" ref="J6">IFERROR(_xlfn.XLOOKUP(INDEX(Table135[מס"ד],MATCH($A6&amp;"4 אדום",Table135[מקצה]&amp;Table135[שולחן],0)),TeamList[מס"ד],TeamList[מס'' הקבוצה]),"")</f>
        <v>3128</v>
      </c>
      <c r="K6" s="187" cm="1">
        <f t="array" ref="K6">IFERROR(_xlfn.XLOOKUP(INDEX(Table135[מס"ד],MATCH($A6&amp;"1 אדום",Table135[מקצה]&amp;Table135[שולחן],0)),TeamList2[מס"ד],TeamList2[מס'' הקבוצה]),"")</f>
        <v>696</v>
      </c>
      <c r="L6" s="114" cm="1">
        <f t="array" ref="L6">IFERROR(_xlfn.XLOOKUP(INDEX(Table135[מס"ד],MATCH($A6&amp;"1 כחול",Table135[מקצה]&amp;Table135[שולחן],0)),TeamList[מס"ד],TeamList[מס'' הקבוצה]),"")</f>
        <v>588</v>
      </c>
      <c r="M6" s="187" cm="1">
        <f t="array" ref="M6">IFERROR(_xlfn.XLOOKUP(INDEX(Table135[מס"ד],MATCH($A6&amp;"1 כחול",Table135[מקצה]&amp;Table135[שולחן],0)),TeamList2[מס"ד],TeamList2[מס'' הקבוצה]),"")</f>
        <v>3093</v>
      </c>
      <c r="N6" s="114" cm="1">
        <f t="array" ref="N6">IFERROR(_xlfn.XLOOKUP(INDEX(Table135[מס"ד],MATCH($A6&amp;"2 כחול",Table135[מקצה]&amp;Table135[שולחן],0)),TeamList[מס"ד],TeamList[מס'' הקבוצה]),"")</f>
        <v>3181</v>
      </c>
      <c r="O6" s="187" cm="1">
        <f t="array" ref="O6">IFERROR(_xlfn.XLOOKUP(INDEX(Table135[מס"ד],MATCH($A6&amp;"2 כחול",Table135[מקצה]&amp;Table135[שולחן],0)),TeamList2[מס"ד],TeamList2[מס'' הקבוצה]),"")</f>
        <v>3191</v>
      </c>
      <c r="P6" s="114" cm="1">
        <f t="array" ref="P6">IFERROR(_xlfn.XLOOKUP(INDEX(Table135[מס"ד],MATCH($A6&amp;"3 כחול",Table135[מקצה]&amp;Table135[שולחן],0)),TeamList[מס"ד],TeamList[מס'' הקבוצה]),"")</f>
        <v>1324</v>
      </c>
      <c r="Q6" s="187" cm="1">
        <f t="array" ref="Q6">IFERROR(_xlfn.XLOOKUP(INDEX(Table135[מס"ד],MATCH($A6&amp;"3 כחול",Table135[מקצה]&amp;Table135[שולחן],0)),TeamList2[מס"ד],TeamList2[מס'' הקבוצה]),"")</f>
        <v>453</v>
      </c>
      <c r="R6" s="114" cm="1">
        <f t="array" ref="R6">IFERROR(_xlfn.XLOOKUP(INDEX(Table135[מס"ד],MATCH($A6&amp;"4 כחול",Table135[מקצה]&amp;Table135[שולחן],0)),TeamList[מס"ד],TeamList[מס'' הקבוצה]),"")</f>
        <v>3006</v>
      </c>
      <c r="S6" s="115" cm="1">
        <f t="array" ref="S6">IFERROR(_xlfn.XLOOKUP(INDEX(Table135[מס"ד],MATCH($A6&amp;"1 כחול",Table135[מקצה]&amp;Table135[שולחן],0)),TeamList2[מס"ד],TeamList2[מס'' הקבוצה]),"")</f>
        <v>3093</v>
      </c>
    </row>
    <row r="7" spans="1:19" ht="26.4" customHeight="1" x14ac:dyDescent="0.65">
      <c r="A7" s="121">
        <f>A6+1</f>
        <v>52</v>
      </c>
      <c r="B7" s="122">
        <f>B6+ORM</f>
        <v>0.67708333333333326</v>
      </c>
      <c r="C7" s="123">
        <f t="shared" si="0"/>
        <v>0.67916666666666659</v>
      </c>
      <c r="D7" s="96" t="str" cm="1">
        <f t="array" ref="D7">IFERROR(_xlfn.XLOOKUP(INDEX(Table135[מס"ד],MATCH($A7&amp;"1 אדום",Table135[מקצה]&amp;Table135[שולחן],0)),TeamList[מס"ד],TeamList[מס'' הקבוצה]),"")</f>
        <v/>
      </c>
      <c r="E7" s="188" t="str" cm="1">
        <f t="array" ref="E7">IFERROR(_xlfn.XLOOKUP(INDEX(Table135[מס"ד],MATCH($A7&amp;"1 אדום",Table135[מקצה]&amp;Table135[שולחן],0)),TeamList2[מס"ד],TeamList2[מס'' הקבוצה]),"")</f>
        <v/>
      </c>
      <c r="F7" s="96" t="str" cm="1">
        <f t="array" ref="F7">IFERROR(_xlfn.XLOOKUP(INDEX(Table135[מס"ד],MATCH($A7&amp;"2 אדום",Table135[מקצה]&amp;Table135[שולחן],0)),TeamList[מס"ד],TeamList[מס'' הקבוצה]),"")</f>
        <v/>
      </c>
      <c r="G7" s="188" t="str" cm="1">
        <f t="array" ref="G7">IFERROR(_xlfn.XLOOKUP(INDEX(Table135[מס"ד],MATCH($A7&amp;"2 אדום",Table135[מקצה]&amp;Table135[שולחן],0)),TeamList2[מס"ד],TeamList2[מס'' הקבוצה]),"")</f>
        <v/>
      </c>
      <c r="H7" s="96" t="str" cm="1">
        <f t="array" ref="H7">IFERROR(_xlfn.XLOOKUP(INDEX(Table135[מס"ד],MATCH($A7&amp;"3 אדום",Table135[מקצה]&amp;Table135[שולחן],0)),TeamList[מס"ד],TeamList[מס'' הקבוצה]),"")</f>
        <v/>
      </c>
      <c r="I7" s="188" t="str" cm="1">
        <f t="array" ref="I7">IFERROR(_xlfn.XLOOKUP(INDEX(Table135[מס"ד],MATCH($A7&amp;"3 אדום",Table135[מקצה]&amp;Table135[שולחן],0)),TeamList2[מס"ד],TeamList2[מס'' הקבוצה]),"")</f>
        <v/>
      </c>
      <c r="J7" s="96" t="str" cm="1">
        <f t="array" ref="J7">IFERROR(_xlfn.XLOOKUP(INDEX(Table135[מס"ד],MATCH($A7&amp;"4 אדום",Table135[מקצה]&amp;Table135[שולחן],0)),TeamList[מס"ד],TeamList[מס'' הקבוצה]),"")</f>
        <v/>
      </c>
      <c r="K7" s="188" t="str" cm="1">
        <f t="array" ref="K7">IFERROR(_xlfn.XLOOKUP(INDEX(Table135[מס"ד],MATCH($A7&amp;"1 אדום",Table135[מקצה]&amp;Table135[שולחן],0)),TeamList2[מס"ד],TeamList2[מס'' הקבוצה]),"")</f>
        <v/>
      </c>
      <c r="L7" s="96" t="str" cm="1">
        <f t="array" ref="L7">IFERROR(_xlfn.XLOOKUP(INDEX(Table135[מס"ד],MATCH($A7&amp;"1 כחול",Table135[מקצה]&amp;Table135[שולחן],0)),TeamList[מס"ד],TeamList[מס'' הקבוצה]),"")</f>
        <v/>
      </c>
      <c r="M7" s="188" t="str" cm="1">
        <f t="array" ref="M7">IFERROR(_xlfn.XLOOKUP(INDEX(Table135[מס"ד],MATCH($A7&amp;"1 כחול",Table135[מקצה]&amp;Table135[שולחן],0)),TeamList2[מס"ד],TeamList2[מס'' הקבוצה]),"")</f>
        <v/>
      </c>
      <c r="N7" s="96" t="str" cm="1">
        <f t="array" ref="N7">IFERROR(_xlfn.XLOOKUP(INDEX(Table135[מס"ד],MATCH($A7&amp;"2 כחול",Table135[מקצה]&amp;Table135[שולחן],0)),TeamList[מס"ד],TeamList[מס'' הקבוצה]),"")</f>
        <v/>
      </c>
      <c r="O7" s="188" t="str" cm="1">
        <f t="array" ref="O7">IFERROR(_xlfn.XLOOKUP(INDEX(Table135[מס"ד],MATCH($A7&amp;"2 כחול",Table135[מקצה]&amp;Table135[שולחן],0)),TeamList2[מס"ד],TeamList2[מס'' הקבוצה]),"")</f>
        <v/>
      </c>
      <c r="P7" s="96" t="str" cm="1">
        <f t="array" ref="P7">IFERROR(_xlfn.XLOOKUP(INDEX(Table135[מס"ד],MATCH($A7&amp;"3 כחול",Table135[מקצה]&amp;Table135[שולחן],0)),TeamList[מס"ד],TeamList[מס'' הקבוצה]),"")</f>
        <v/>
      </c>
      <c r="Q7" s="188" t="str" cm="1">
        <f t="array" ref="Q7">IFERROR(_xlfn.XLOOKUP(INDEX(Table135[מס"ד],MATCH($A7&amp;"3 כחול",Table135[מקצה]&amp;Table135[שולחן],0)),TeamList2[מס"ד],TeamList2[מס'' הקבוצה]),"")</f>
        <v/>
      </c>
      <c r="R7" s="96" t="str" cm="1">
        <f t="array" ref="R7">IFERROR(_xlfn.XLOOKUP(INDEX(Table135[מס"ד],MATCH($A7&amp;"4 כחול",Table135[מקצה]&amp;Table135[שולחן],0)),TeamList[מס"ד],TeamList[מס'' הקבוצה]),"")</f>
        <v/>
      </c>
      <c r="S7" s="124" t="str" cm="1">
        <f t="array" ref="S7">IFERROR(_xlfn.XLOOKUP(INDEX(Table135[מס"ד],MATCH($A7&amp;"1 כחול",Table135[מקצה]&amp;Table135[שולחן],0)),TeamList2[מס"ד],TeamList2[מס'' הקבוצה]),"")</f>
        <v/>
      </c>
    </row>
    <row r="8" spans="1:19" ht="26.4" customHeight="1" x14ac:dyDescent="0.65">
      <c r="A8" s="111">
        <f>A7+1</f>
        <v>53</v>
      </c>
      <c r="B8" s="112">
        <f>B7+ORM</f>
        <v>0.68055555555555547</v>
      </c>
      <c r="C8" s="113">
        <f t="shared" si="0"/>
        <v>0.6826388888888888</v>
      </c>
      <c r="D8" s="114" cm="1">
        <f t="array" ref="D8">IFERROR(_xlfn.XLOOKUP(INDEX(Table135[מס"ד],MATCH($A8&amp;"1 אדום",Table135[מקצה]&amp;Table135[שולחן],0)),TeamList[מס"ד],TeamList[מס'' הקבוצה]),"")</f>
        <v>3243</v>
      </c>
      <c r="E8" s="187" cm="1">
        <f t="array" ref="E8">IFERROR(_xlfn.XLOOKUP(INDEX(Table135[מס"ד],MATCH($A8&amp;"1 אדום",Table135[מקצה]&amp;Table135[שולחן],0)),TeamList2[מס"ד],TeamList2[מס'' הקבוצה]),"")</f>
        <v>137</v>
      </c>
      <c r="F8" s="114" cm="1">
        <f t="array" ref="F8">IFERROR(_xlfn.XLOOKUP(INDEX(Table135[מס"ד],MATCH($A8&amp;"2 אדום",Table135[מקצה]&amp;Table135[שולחן],0)),TeamList[מס"ד],TeamList[מס'' הקבוצה]),"")</f>
        <v>1083</v>
      </c>
      <c r="G8" s="187" cm="1">
        <f t="array" ref="G8">IFERROR(_xlfn.XLOOKUP(INDEX(Table135[מס"ד],MATCH($A8&amp;"2 אדום",Table135[מקצה]&amp;Table135[שולחן],0)),TeamList2[מס"ד],TeamList2[מס'' הקבוצה]),"")</f>
        <v>3013</v>
      </c>
      <c r="H8" s="114" cm="1">
        <f t="array" ref="H8">IFERROR(_xlfn.XLOOKUP(INDEX(Table135[מס"ד],MATCH($A8&amp;"3 אדום",Table135[מקצה]&amp;Table135[שולחן],0)),TeamList[מס"ד],TeamList[מס'' הקבוצה]),"")</f>
        <v>1333</v>
      </c>
      <c r="I8" s="187" cm="1">
        <f t="array" ref="I8">IFERROR(_xlfn.XLOOKUP(INDEX(Table135[מס"ד],MATCH($A8&amp;"3 אדום",Table135[מקצה]&amp;Table135[שולחן],0)),TeamList2[מס"ד],TeamList2[מס'' הקבוצה]),"")</f>
        <v>660</v>
      </c>
      <c r="J8" s="114" cm="1">
        <f t="array" ref="J8">IFERROR(_xlfn.XLOOKUP(INDEX(Table135[מס"ד],MATCH($A8&amp;"4 אדום",Table135[מקצה]&amp;Table135[שולחן],0)),TeamList[מס"ד],TeamList[מס'' הקבוצה]),"")</f>
        <v>3294</v>
      </c>
      <c r="K8" s="187" cm="1">
        <f t="array" ref="K8">IFERROR(_xlfn.XLOOKUP(INDEX(Table135[מס"ד],MATCH($A8&amp;"1 אדום",Table135[מקצה]&amp;Table135[שולחן],0)),TeamList2[מס"ד],TeamList2[מס'' הקבוצה]),"")</f>
        <v>137</v>
      </c>
      <c r="L8" s="114" cm="1">
        <f t="array" ref="L8">IFERROR(_xlfn.XLOOKUP(INDEX(Table135[מס"ד],MATCH($A8&amp;"1 כחול",Table135[מקצה]&amp;Table135[שולחן],0)),TeamList[מס"ד],TeamList[מס'' הקבוצה]),"")</f>
        <v>3139</v>
      </c>
      <c r="M8" s="187" cm="1">
        <f t="array" ref="M8">IFERROR(_xlfn.XLOOKUP(INDEX(Table135[מס"ד],MATCH($A8&amp;"1 כחול",Table135[מקצה]&amp;Table135[שולחן],0)),TeamList2[מס"ד],TeamList2[מס'' הקבוצה]),"")</f>
        <v>1350</v>
      </c>
      <c r="N8" s="114" cm="1">
        <f t="array" ref="N8">IFERROR(_xlfn.XLOOKUP(INDEX(Table135[מס"ד],MATCH($A8&amp;"2 כחול",Table135[מקצה]&amp;Table135[שולחן],0)),TeamList[מס"ד],TeamList[מס'' הקבוצה]),"")</f>
        <v>1152</v>
      </c>
      <c r="O8" s="187" cm="1">
        <f t="array" ref="O8">IFERROR(_xlfn.XLOOKUP(INDEX(Table135[מס"ד],MATCH($A8&amp;"2 כחול",Table135[מקצה]&amp;Table135[שולחן],0)),TeamList2[מס"ד],TeamList2[מס'' הקבוצה]),"")</f>
        <v>3323</v>
      </c>
      <c r="P8" s="114" cm="1">
        <f t="array" ref="P8">IFERROR(_xlfn.XLOOKUP(INDEX(Table135[מס"ד],MATCH($A8&amp;"3 כחול",Table135[מקצה]&amp;Table135[שולחן],0)),TeamList[מס"ד],TeamList[מס'' הקבוצה]),"")</f>
        <v>1616</v>
      </c>
      <c r="Q8" s="187" cm="1">
        <f t="array" ref="Q8">IFERROR(_xlfn.XLOOKUP(INDEX(Table135[מס"ד],MATCH($A8&amp;"3 כחול",Table135[מקצה]&amp;Table135[שולחן],0)),TeamList2[מס"ד],TeamList2[מס'' הקבוצה]),"")</f>
        <v>910</v>
      </c>
      <c r="R8" s="114" cm="1">
        <f t="array" ref="R8">IFERROR(_xlfn.XLOOKUP(INDEX(Table135[מס"ד],MATCH($A8&amp;"4 כחול",Table135[מקצה]&amp;Table135[שולחן],0)),TeamList[מס"ד],TeamList[מס'' הקבוצה]),"")</f>
        <v>2843</v>
      </c>
      <c r="S8" s="115" cm="1">
        <f t="array" ref="S8">IFERROR(_xlfn.XLOOKUP(INDEX(Table135[מס"ד],MATCH($A8&amp;"1 כחול",Table135[מקצה]&amp;Table135[שולחן],0)),TeamList2[מס"ד],TeamList2[מס'' הקבוצה]),"")</f>
        <v>1350</v>
      </c>
    </row>
    <row r="9" spans="1:19" ht="26.4" customHeight="1" thickBot="1" x14ac:dyDescent="0.8">
      <c r="A9" s="189">
        <f>A8+1</f>
        <v>54</v>
      </c>
      <c r="B9" s="190">
        <f>B8+ORM</f>
        <v>0.68402777777777768</v>
      </c>
      <c r="C9" s="191">
        <f t="shared" si="0"/>
        <v>0.68611111111111101</v>
      </c>
      <c r="D9" s="192" t="str" cm="1">
        <f t="array" ref="D9">IFERROR(_xlfn.XLOOKUP(INDEX(Table135[מס"ד],MATCH($A9&amp;"1 אדום",Table135[מקצה]&amp;Table135[שולחן],0)),TeamList[מס"ד],TeamList[מס'' הקבוצה]),"")</f>
        <v/>
      </c>
      <c r="E9" s="193" t="str" cm="1">
        <f t="array" ref="E9">IFERROR(_xlfn.XLOOKUP(INDEX(Table135[מס"ד],MATCH($A9&amp;"1 אדום",Table135[מקצה]&amp;Table135[שולחן],0)),TeamList2[מס"ד],TeamList2[מס'' הקבוצה]),"")</f>
        <v/>
      </c>
      <c r="F9" s="192" t="str" cm="1">
        <f t="array" ref="F9">IFERROR(_xlfn.XLOOKUP(INDEX(Table135[מס"ד],MATCH($A9&amp;"2 אדום",Table135[מקצה]&amp;Table135[שולחן],0)),TeamList[מס"ד],TeamList[מס'' הקבוצה]),"")</f>
        <v/>
      </c>
      <c r="G9" s="193" t="str" cm="1">
        <f t="array" ref="G9">IFERROR(_xlfn.XLOOKUP(INDEX(Table135[מס"ד],MATCH($A9&amp;"2 אדום",Table135[מקצה]&amp;Table135[שולחן],0)),TeamList2[מס"ד],TeamList2[מס'' הקבוצה]),"")</f>
        <v/>
      </c>
      <c r="H9" s="192" t="str" cm="1">
        <f t="array" ref="H9">IFERROR(_xlfn.XLOOKUP(INDEX(Table135[מס"ד],MATCH($A9&amp;"3 אדום",Table135[מקצה]&amp;Table135[שולחן],0)),TeamList[מס"ד],TeamList[מס'' הקבוצה]),"")</f>
        <v/>
      </c>
      <c r="I9" s="193" t="str" cm="1">
        <f t="array" ref="I9">IFERROR(_xlfn.XLOOKUP(INDEX(Table135[מס"ד],MATCH($A9&amp;"3 אדום",Table135[מקצה]&amp;Table135[שולחן],0)),TeamList2[מס"ד],TeamList2[מס'' הקבוצה]),"")</f>
        <v/>
      </c>
      <c r="J9" s="192" t="str" cm="1">
        <f t="array" ref="J9">IFERROR(_xlfn.XLOOKUP(INDEX(Table135[מס"ד],MATCH($A9&amp;"4 אדום",Table135[מקצה]&amp;Table135[שולחן],0)),TeamList[מס"ד],TeamList[מס'' הקבוצה]),"")</f>
        <v/>
      </c>
      <c r="K9" s="193" t="str" cm="1">
        <f t="array" ref="K9">IFERROR(_xlfn.XLOOKUP(INDEX(Table135[מס"ד],MATCH($A9&amp;"1 אדום",Table135[מקצה]&amp;Table135[שולחן],0)),TeamList2[מס"ד],TeamList2[מס'' הקבוצה]),"")</f>
        <v/>
      </c>
      <c r="L9" s="192" t="str" cm="1">
        <f t="array" ref="L9">IFERROR(_xlfn.XLOOKUP(INDEX(Table135[מס"ד],MATCH($A9&amp;"1 כחול",Table135[מקצה]&amp;Table135[שולחן],0)),TeamList[מס"ד],TeamList[מס'' הקבוצה]),"")</f>
        <v/>
      </c>
      <c r="M9" s="193" t="str" cm="1">
        <f t="array" ref="M9">IFERROR(_xlfn.XLOOKUP(INDEX(Table135[מס"ד],MATCH($A9&amp;"1 כחול",Table135[מקצה]&amp;Table135[שולחן],0)),TeamList2[מס"ד],TeamList2[מס'' הקבוצה]),"")</f>
        <v/>
      </c>
      <c r="N9" s="192" t="str" cm="1">
        <f t="array" ref="N9">IFERROR(_xlfn.XLOOKUP(INDEX(Table135[מס"ד],MATCH($A9&amp;"2 כחול",Table135[מקצה]&amp;Table135[שולחן],0)),TeamList[מס"ד],TeamList[מס'' הקבוצה]),"")</f>
        <v/>
      </c>
      <c r="O9" s="193" t="str" cm="1">
        <f t="array" ref="O9">IFERROR(_xlfn.XLOOKUP(INDEX(Table135[מס"ד],MATCH($A9&amp;"2 כחול",Table135[מקצה]&amp;Table135[שולחן],0)),TeamList2[מס"ד],TeamList2[מס'' הקבוצה]),"")</f>
        <v/>
      </c>
      <c r="P9" s="192" t="str" cm="1">
        <f t="array" ref="P9">IFERROR(_xlfn.XLOOKUP(INDEX(Table135[מס"ד],MATCH($A9&amp;"3 כחול",Table135[מקצה]&amp;Table135[שולחן],0)),TeamList[מס"ד],TeamList[מס'' הקבוצה]),"")</f>
        <v/>
      </c>
      <c r="Q9" s="193" t="str" cm="1">
        <f t="array" ref="Q9">IFERROR(_xlfn.XLOOKUP(INDEX(Table135[מס"ד],MATCH($A9&amp;"3 כחול",Table135[מקצה]&amp;Table135[שולחן],0)),TeamList2[מס"ד],TeamList2[מס'' הקבוצה]),"")</f>
        <v/>
      </c>
      <c r="R9" s="192" t="str" cm="1">
        <f t="array" ref="R9">IFERROR(_xlfn.XLOOKUP(INDEX(Table135[מס"ד],MATCH($A9&amp;"4 כחול",Table135[מקצה]&amp;Table135[שולחן],0)),TeamList[מס"ד],TeamList[מס'' הקבוצה]),"")</f>
        <v/>
      </c>
      <c r="S9" s="194" t="str" cm="1">
        <f t="array" ref="S9">IFERROR(_xlfn.XLOOKUP(INDEX(Table135[מס"ד],MATCH($A9&amp;"1 כחול",Table135[מקצה]&amp;Table135[שולחן],0)),TeamList2[מס"ד],TeamList2[מס'' הקבוצה]),"")</f>
        <v/>
      </c>
    </row>
    <row r="11" spans="1:19" ht="30.65" customHeight="1" thickBot="1" x14ac:dyDescent="0.8">
      <c r="A11" s="258" t="s">
        <v>156</v>
      </c>
      <c r="B11" s="258"/>
      <c r="C11" s="258"/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8"/>
      <c r="R11" s="258"/>
      <c r="S11" s="258"/>
    </row>
    <row r="12" spans="1:19" ht="28.2" customHeight="1" thickBot="1" x14ac:dyDescent="0.8">
      <c r="A12" s="102" t="s">
        <v>30</v>
      </c>
      <c r="B12" s="103" t="s">
        <v>22</v>
      </c>
      <c r="C12" s="103" t="s">
        <v>23</v>
      </c>
      <c r="D12" s="253" t="s">
        <v>177</v>
      </c>
      <c r="E12" s="254"/>
      <c r="F12" s="255" t="s">
        <v>178</v>
      </c>
      <c r="G12" s="255"/>
      <c r="H12" s="255" t="s">
        <v>179</v>
      </c>
      <c r="I12" s="255"/>
      <c r="J12" s="255" t="s">
        <v>180</v>
      </c>
      <c r="K12" s="255"/>
      <c r="L12" s="255" t="s">
        <v>170</v>
      </c>
      <c r="M12" s="255"/>
      <c r="N12" s="255" t="s">
        <v>172</v>
      </c>
      <c r="O12" s="255"/>
      <c r="P12" s="255" t="s">
        <v>174</v>
      </c>
      <c r="Q12" s="255"/>
      <c r="R12" s="256" t="s">
        <v>176</v>
      </c>
      <c r="S12" s="257"/>
    </row>
    <row r="13" spans="1:19" ht="26.4" customHeight="1" x14ac:dyDescent="0.65">
      <c r="A13" s="111">
        <f>RM*4+1</f>
        <v>49</v>
      </c>
      <c r="B13" s="112">
        <f>tournament</f>
        <v>0.66666666666666663</v>
      </c>
      <c r="C13" s="113">
        <f t="shared" ref="C13:C18" si="1">B13+TIME(0,3,0)</f>
        <v>0.66874999999999996</v>
      </c>
      <c r="D13" s="114" t="str" cm="1">
        <f t="array" ref="D13">IFERROR(_xlfn.XLOOKUP(INDEX(Table135[מס"ד],MATCH($A13&amp;"5 אדום",Table135[מקצה]&amp;Table135[שולחן],0)),TeamList[מס"ד],TeamList[מס'' הקבוצה]),"")</f>
        <v/>
      </c>
      <c r="E13" s="187" t="str" cm="1">
        <f t="array" ref="E13">IFERROR(_xlfn.XLOOKUP(INDEX(Table135[מס"ד],MATCH($A13&amp;"5 אדום",Table135[מקצה]&amp;Table135[שולחן],0)),TeamList2[מס"ד],TeamList2[מס'' הקבוצה]),"")</f>
        <v/>
      </c>
      <c r="F13" s="114" t="str" cm="1">
        <f t="array" ref="F13">IFERROR(_xlfn.XLOOKUP(INDEX(Table135[מס"ד],MATCH($A13&amp;"6 אדום",Table135[מקצה]&amp;Table135[שולחן],0)),TeamList[מס"ד],TeamList[מס'' הקבוצה]),"")</f>
        <v/>
      </c>
      <c r="G13" s="187" t="str" cm="1">
        <f t="array" ref="G13">IFERROR(_xlfn.XLOOKUP(INDEX(Table135[מס"ד],MATCH($A13&amp;"6 אדום",Table135[מקצה]&amp;Table135[שולחן],0)),TeamList2[מס"ד],TeamList2[מס'' הקבוצה]),"")</f>
        <v/>
      </c>
      <c r="H13" s="114" t="str" cm="1">
        <f t="array" ref="H13">IFERROR(_xlfn.XLOOKUP(INDEX(Table135[מס"ד],MATCH($A13&amp;"7 אדום",Table135[מקצה]&amp;Table135[שולחן],0)),TeamList[מס"ד],TeamList[מס'' הקבוצה]),"")</f>
        <v/>
      </c>
      <c r="I13" s="187" t="str" cm="1">
        <f t="array" ref="I13">IFERROR(_xlfn.XLOOKUP(INDEX(Table135[מס"ד],MATCH($A13&amp;"7 אדום",Table135[מקצה]&amp;Table135[שולחן],0)),TeamList2[מס"ד],TeamList2[מס'' הקבוצה]),"")</f>
        <v/>
      </c>
      <c r="J13" s="114" t="str" cm="1">
        <f t="array" ref="J13">IFERROR(_xlfn.XLOOKUP(INDEX(Table135[מס"ד],MATCH($A13&amp;"8 אדום",Table135[מקצה]&amp;Table135[שולחן],0)),TeamList[מס"ד],TeamList[מס'' הקבוצה]),"")</f>
        <v/>
      </c>
      <c r="K13" s="187" t="str" cm="1">
        <f t="array" ref="K13">IFERROR(_xlfn.XLOOKUP(INDEX(Table135[מס"ד],MATCH($A13&amp;"8 אדום",Table135[מקצה]&amp;Table135[שולחן],0)),TeamList2[מס"ד],TeamList2[מס'' הקבוצה]),"")</f>
        <v/>
      </c>
      <c r="L13" s="114" t="str" cm="1">
        <f t="array" ref="L13">IFERROR(_xlfn.XLOOKUP(INDEX(Table135[מס"ד],MATCH($A13&amp;"5 כחול",Table135[מקצה]&amp;Table135[שולחן],0)),TeamList[מס"ד],TeamList[מס'' הקבוצה]),"")</f>
        <v/>
      </c>
      <c r="M13" s="187" t="str" cm="1">
        <f t="array" ref="M13">IFERROR(_xlfn.XLOOKUP(INDEX(Table135[מס"ד],MATCH($A13&amp;"5 כחול",Table135[מקצה]&amp;Table135[שולחן],0)),TeamList2[מס"ד],TeamList2[מס'' הקבוצה]),"")</f>
        <v/>
      </c>
      <c r="N13" s="114" t="str" cm="1">
        <f t="array" ref="N13">IFERROR(_xlfn.XLOOKUP(INDEX(Table135[מס"ד],MATCH($A13&amp;"6 כחול",Table135[מקצה]&amp;Table135[שולחן],0)),TeamList[מס"ד],TeamList[מס'' הקבוצה]),"")</f>
        <v/>
      </c>
      <c r="O13" s="187" t="str" cm="1">
        <f t="array" ref="O13">IFERROR(_xlfn.XLOOKUP(INDEX(Table135[מס"ד],MATCH($A13&amp;"6 כחול",Table135[מקצה]&amp;Table135[שולחן],0)),TeamList2[מס"ד],TeamList2[מס'' הקבוצה]),"")</f>
        <v/>
      </c>
      <c r="P13" s="114" t="str" cm="1">
        <f t="array" ref="P13">IFERROR(_xlfn.XLOOKUP(INDEX(Table135[מס"ד],MATCH($A13&amp;"7 כחול",Table135[מקצה]&amp;Table135[שולחן],0)),TeamList[מס"ד],TeamList[מס'' הקבוצה]),"")</f>
        <v/>
      </c>
      <c r="Q13" s="187" t="str" cm="1">
        <f t="array" ref="Q13">IFERROR(_xlfn.XLOOKUP(INDEX(Table135[מס"ד],MATCH($A13&amp;"7 כחול",Table135[מקצה]&amp;Table135[שולחן],0)),TeamList2[מס"ד],TeamList2[מס'' הקבוצה]),"")</f>
        <v/>
      </c>
      <c r="R13" s="114" t="str" cm="1">
        <f t="array" ref="R13">IFERROR(_xlfn.XLOOKUP(INDEX(Table135[מס"ד],MATCH($A13&amp;"8 כחול",Table135[מקצה]&amp;Table135[שולחן],0)),TeamList[מס"ד],TeamList[מס'' הקבוצה]),"")</f>
        <v/>
      </c>
      <c r="S13" s="115" t="str" cm="1">
        <f t="array" ref="S13">IFERROR(_xlfn.XLOOKUP(INDEX(Table135[מס"ד],MATCH($A13&amp;"8 כחול",Table135[מקצה]&amp;Table135[שולחן],0)),TeamList2[מס"ד],TeamList2[מס'' הקבוצה]),"")</f>
        <v/>
      </c>
    </row>
    <row r="14" spans="1:19" ht="26.4" customHeight="1" x14ac:dyDescent="0.65">
      <c r="A14" s="121">
        <f>A13+1</f>
        <v>50</v>
      </c>
      <c r="B14" s="122">
        <f>B13+ORM</f>
        <v>0.67013888888888884</v>
      </c>
      <c r="C14" s="123">
        <f t="shared" si="1"/>
        <v>0.67222222222222217</v>
      </c>
      <c r="D14" s="96" cm="1">
        <f t="array" ref="D14">IFERROR(_xlfn.XLOOKUP(INDEX(Table135[מס"ד],MATCH($A14&amp;"5 אדום",Table135[מקצה]&amp;Table135[שולחן],0)),TeamList[מס"ד],TeamList[מס'' הקבוצה]),"")</f>
        <v>3180</v>
      </c>
      <c r="E14" s="188" cm="1">
        <f t="array" ref="E14">IFERROR(_xlfn.XLOOKUP(INDEX(Table135[מס"ד],MATCH($A14&amp;"5 אדום",Table135[מקצה]&amp;Table135[שולחן],0)),TeamList2[מס"ד],TeamList2[מס'' הקבוצה]),"")</f>
        <v>787</v>
      </c>
      <c r="F14" s="96" cm="1">
        <f t="array" ref="F14">IFERROR(_xlfn.XLOOKUP(INDEX(Table135[מס"ד],MATCH($A14&amp;"6 אדום",Table135[מקצה]&amp;Table135[שולחן],0)),TeamList[מס"ד],TeamList[מס'' הקבוצה]),"")</f>
        <v>3179</v>
      </c>
      <c r="G14" s="188" cm="1">
        <f t="array" ref="G14">IFERROR(_xlfn.XLOOKUP(INDEX(Table135[מס"ד],MATCH($A14&amp;"6 אדום",Table135[מקצה]&amp;Table135[שולחן],0)),TeamList2[מס"ד],TeamList2[מס'' הקבוצה]),"")</f>
        <v>2331</v>
      </c>
      <c r="H14" s="96" cm="1">
        <f t="array" ref="H14">IFERROR(_xlfn.XLOOKUP(INDEX(Table135[מס"ד],MATCH($A14&amp;"7 אדום",Table135[מקצה]&amp;Table135[שולחן],0)),TeamList[מס"ד],TeamList[מס'' הקבוצה]),"")</f>
        <v>52</v>
      </c>
      <c r="I14" s="188" cm="1">
        <f t="array" ref="I14">IFERROR(_xlfn.XLOOKUP(INDEX(Table135[מס"ד],MATCH($A14&amp;"7 אדום",Table135[מקצה]&amp;Table135[שולחן],0)),TeamList2[מס"ד],TeamList2[מס'' הקבוצה]),"")</f>
        <v>518</v>
      </c>
      <c r="J14" s="96" cm="1">
        <f t="array" ref="J14">IFERROR(_xlfn.XLOOKUP(INDEX(Table135[מס"ד],MATCH($A14&amp;"8 אדום",Table135[מקצה]&amp;Table135[שולחן],0)),TeamList[מס"ד],TeamList[מס'' הקבוצה]),"")</f>
        <v>3340</v>
      </c>
      <c r="K14" s="188" cm="1">
        <f t="array" ref="K14">IFERROR(_xlfn.XLOOKUP(INDEX(Table135[מס"ד],MATCH($A14&amp;"8 אדום",Table135[מקצה]&amp;Table135[שולחן],0)),TeamList2[מס"ד],TeamList2[מס'' הקבוצה]),"")</f>
        <v>2648</v>
      </c>
      <c r="L14" s="96" cm="1">
        <f t="array" ref="L14">IFERROR(_xlfn.XLOOKUP(INDEX(Table135[מס"ד],MATCH($A14&amp;"5 כחול",Table135[מקצה]&amp;Table135[שולחן],0)),TeamList[מס"ד],TeamList[מס'' הקבוצה]),"")</f>
        <v>2978</v>
      </c>
      <c r="M14" s="188" cm="1">
        <f t="array" ref="M14">IFERROR(_xlfn.XLOOKUP(INDEX(Table135[מס"ד],MATCH($A14&amp;"5 כחול",Table135[מקצה]&amp;Table135[שולחן],0)),TeamList2[מס"ד],TeamList2[מס'' הקבוצה]),"")</f>
        <v>452</v>
      </c>
      <c r="N14" s="96" cm="1">
        <f t="array" ref="N14">IFERROR(_xlfn.XLOOKUP(INDEX(Table135[מס"ד],MATCH($A14&amp;"6 כחול",Table135[מקצה]&amp;Table135[שולחן],0)),TeamList[מס"ד],TeamList[מס'' הקבוצה]),"")</f>
        <v>2222</v>
      </c>
      <c r="O14" s="188" cm="1">
        <f t="array" ref="O14">IFERROR(_xlfn.XLOOKUP(INDEX(Table135[מס"ד],MATCH($A14&amp;"6 כחול",Table135[מקצה]&amp;Table135[שולחן],0)),TeamList2[מס"ד],TeamList2[מס'' הקבוצה]),"")</f>
        <v>3140</v>
      </c>
      <c r="P14" s="96" cm="1">
        <f t="array" ref="P14">IFERROR(_xlfn.XLOOKUP(INDEX(Table135[מס"ד],MATCH($A14&amp;"7 כחול",Table135[מקצה]&amp;Table135[שולחן],0)),TeamList[מס"ד],TeamList[מס'' הקבוצה]),"")</f>
        <v>3182</v>
      </c>
      <c r="Q14" s="188" cm="1">
        <f t="array" ref="Q14">IFERROR(_xlfn.XLOOKUP(INDEX(Table135[מס"ד],MATCH($A14&amp;"7 כחול",Table135[מקצה]&amp;Table135[שולחן],0)),TeamList2[מס"ד],TeamList2[מס'' הקבוצה]),"")</f>
        <v>3100</v>
      </c>
      <c r="R14" s="96" cm="1">
        <f t="array" ref="R14">IFERROR(_xlfn.XLOOKUP(INDEX(Table135[מס"ד],MATCH($A14&amp;"8 כחול",Table135[מקצה]&amp;Table135[שולחן],0)),TeamList[מס"ד],TeamList[מס'' הקבוצה]),"")</f>
        <v>1332</v>
      </c>
      <c r="S14" s="124" cm="1">
        <f t="array" ref="S14">IFERROR(_xlfn.XLOOKUP(INDEX(Table135[מס"ד],MATCH($A14&amp;"8 כחול",Table135[מקצה]&amp;Table135[שולחן],0)),TeamList2[מס"ד],TeamList2[מס'' הקבוצה]),"")</f>
        <v>1517</v>
      </c>
    </row>
    <row r="15" spans="1:19" ht="26.4" customHeight="1" x14ac:dyDescent="0.65">
      <c r="A15" s="111">
        <f>A14+1</f>
        <v>51</v>
      </c>
      <c r="B15" s="112">
        <f>B14+ORM</f>
        <v>0.67361111111111105</v>
      </c>
      <c r="C15" s="113">
        <f t="shared" si="1"/>
        <v>0.67569444444444438</v>
      </c>
      <c r="D15" s="114" t="str" cm="1">
        <f t="array" ref="D15">IFERROR(_xlfn.XLOOKUP(INDEX(Table135[מס"ד],MATCH($A15&amp;"5 אדום",Table135[מקצה]&amp;Table135[שולחן],0)),TeamList[מס"ד],TeamList[מס'' הקבוצה]),"")</f>
        <v/>
      </c>
      <c r="E15" s="187" t="str" cm="1">
        <f t="array" ref="E15">IFERROR(_xlfn.XLOOKUP(INDEX(Table135[מס"ד],MATCH($A15&amp;"5 אדום",Table135[מקצה]&amp;Table135[שולחן],0)),TeamList2[מס"ד],TeamList2[מס'' הקבוצה]),"")</f>
        <v/>
      </c>
      <c r="F15" s="114" t="str" cm="1">
        <f t="array" ref="F15">IFERROR(_xlfn.XLOOKUP(INDEX(Table135[מס"ד],MATCH($A15&amp;"6 אדום",Table135[מקצה]&amp;Table135[שולחן],0)),TeamList[מס"ד],TeamList[מס'' הקבוצה]),"")</f>
        <v/>
      </c>
      <c r="G15" s="187" t="str" cm="1">
        <f t="array" ref="G15">IFERROR(_xlfn.XLOOKUP(INDEX(Table135[מס"ד],MATCH($A15&amp;"6 אדום",Table135[מקצה]&amp;Table135[שולחן],0)),TeamList2[מס"ד],TeamList2[מס'' הקבוצה]),"")</f>
        <v/>
      </c>
      <c r="H15" s="114" t="str" cm="1">
        <f t="array" ref="H15">IFERROR(_xlfn.XLOOKUP(INDEX(Table135[מס"ד],MATCH($A15&amp;"7 אדום",Table135[מקצה]&amp;Table135[שולחן],0)),TeamList[מס"ד],TeamList[מס'' הקבוצה]),"")</f>
        <v/>
      </c>
      <c r="I15" s="187" t="str" cm="1">
        <f t="array" ref="I15">IFERROR(_xlfn.XLOOKUP(INDEX(Table135[מס"ד],MATCH($A15&amp;"7 אדום",Table135[מקצה]&amp;Table135[שולחן],0)),TeamList2[מס"ד],TeamList2[מס'' הקבוצה]),"")</f>
        <v/>
      </c>
      <c r="J15" s="114" t="str" cm="1">
        <f t="array" ref="J15">IFERROR(_xlfn.XLOOKUP(INDEX(Table135[מס"ד],MATCH($A15&amp;"8 אדום",Table135[מקצה]&amp;Table135[שולחן],0)),TeamList[מס"ד],TeamList[מס'' הקבוצה]),"")</f>
        <v/>
      </c>
      <c r="K15" s="187" t="str" cm="1">
        <f t="array" ref="K15">IFERROR(_xlfn.XLOOKUP(INDEX(Table135[מס"ד],MATCH($A15&amp;"8 אדום",Table135[מקצה]&amp;Table135[שולחן],0)),TeamList2[מס"ד],TeamList2[מס'' הקבוצה]),"")</f>
        <v/>
      </c>
      <c r="L15" s="114" t="str" cm="1">
        <f t="array" ref="L15">IFERROR(_xlfn.XLOOKUP(INDEX(Table135[מס"ד],MATCH($A15&amp;"5 כחול",Table135[מקצה]&amp;Table135[שולחן],0)),TeamList[מס"ד],TeamList[מס'' הקבוצה]),"")</f>
        <v/>
      </c>
      <c r="M15" s="187" t="str" cm="1">
        <f t="array" ref="M15">IFERROR(_xlfn.XLOOKUP(INDEX(Table135[מס"ד],MATCH($A15&amp;"5 כחול",Table135[מקצה]&amp;Table135[שולחן],0)),TeamList2[מס"ד],TeamList2[מס'' הקבוצה]),"")</f>
        <v/>
      </c>
      <c r="N15" s="114" t="str" cm="1">
        <f t="array" ref="N15">IFERROR(_xlfn.XLOOKUP(INDEX(Table135[מס"ד],MATCH($A15&amp;"6 כחול",Table135[מקצה]&amp;Table135[שולחן],0)),TeamList[מס"ד],TeamList[מס'' הקבוצה]),"")</f>
        <v/>
      </c>
      <c r="O15" s="187" t="str" cm="1">
        <f t="array" ref="O15">IFERROR(_xlfn.XLOOKUP(INDEX(Table135[מס"ד],MATCH($A15&amp;"6 כחול",Table135[מקצה]&amp;Table135[שולחן],0)),TeamList2[מס"ד],TeamList2[מס'' הקבוצה]),"")</f>
        <v/>
      </c>
      <c r="P15" s="114" t="str" cm="1">
        <f t="array" ref="P15">IFERROR(_xlfn.XLOOKUP(INDEX(Table135[מס"ד],MATCH($A15&amp;"7 כחול",Table135[מקצה]&amp;Table135[שולחן],0)),TeamList[מס"ד],TeamList[מס'' הקבוצה]),"")</f>
        <v/>
      </c>
      <c r="Q15" s="187" t="str" cm="1">
        <f t="array" ref="Q15">IFERROR(_xlfn.XLOOKUP(INDEX(Table135[מס"ד],MATCH($A15&amp;"7 כחול",Table135[מקצה]&amp;Table135[שולחן],0)),TeamList2[מס"ד],TeamList2[מס'' הקבוצה]),"")</f>
        <v/>
      </c>
      <c r="R15" s="114" t="str" cm="1">
        <f t="array" ref="R15">IFERROR(_xlfn.XLOOKUP(INDEX(Table135[מס"ד],MATCH($A15&amp;"8 כחול",Table135[מקצה]&amp;Table135[שולחן],0)),TeamList[מס"ד],TeamList[מס'' הקבוצה]),"")</f>
        <v/>
      </c>
      <c r="S15" s="115" t="str" cm="1">
        <f t="array" ref="S15">IFERROR(_xlfn.XLOOKUP(INDEX(Table135[מס"ד],MATCH($A15&amp;"8 כחול",Table135[מקצה]&amp;Table135[שולחן],0)),TeamList2[מס"ד],TeamList2[מס'' הקבוצה]),"")</f>
        <v/>
      </c>
    </row>
    <row r="16" spans="1:19" ht="26.4" customHeight="1" x14ac:dyDescent="0.65">
      <c r="A16" s="121">
        <f>A15+1</f>
        <v>52</v>
      </c>
      <c r="B16" s="122">
        <f>B15+ORM</f>
        <v>0.67708333333333326</v>
      </c>
      <c r="C16" s="123">
        <f t="shared" si="1"/>
        <v>0.67916666666666659</v>
      </c>
      <c r="D16" s="96" cm="1">
        <f t="array" ref="D16">IFERROR(_xlfn.XLOOKUP(INDEX(Table135[מס"ד],MATCH($A16&amp;"5 אדום",Table135[מקצה]&amp;Table135[שולחן],0)),TeamList[מס"ד],TeamList[מס'' הקבוצה]),"")</f>
        <v>1825</v>
      </c>
      <c r="E16" s="188" cm="1">
        <f t="array" ref="E16">IFERROR(_xlfn.XLOOKUP(INDEX(Table135[מס"ד],MATCH($A16&amp;"5 אדום",Table135[מקצה]&amp;Table135[שולחן],0)),TeamList2[מס"ד],TeamList2[מס'' הקבוצה]),"")</f>
        <v>1520</v>
      </c>
      <c r="F16" s="96" cm="1">
        <f t="array" ref="F16">IFERROR(_xlfn.XLOOKUP(INDEX(Table135[מס"ד],MATCH($A16&amp;"6 אדום",Table135[מקצה]&amp;Table135[שולחן],0)),TeamList[מס"ד],TeamList[מס'' הקבוצה]),"")</f>
        <v>2977</v>
      </c>
      <c r="G16" s="188" cm="1">
        <f t="array" ref="G16">IFERROR(_xlfn.XLOOKUP(INDEX(Table135[מס"ד],MATCH($A16&amp;"6 אדום",Table135[מקצה]&amp;Table135[שולחן],0)),TeamList2[מס"ד],TeamList2[מס'' הקבוצה]),"")</f>
        <v>3253</v>
      </c>
      <c r="H16" s="96" cm="1">
        <f t="array" ref="H16">IFERROR(_xlfn.XLOOKUP(INDEX(Table135[מס"ד],MATCH($A16&amp;"7 אדום",Table135[מקצה]&amp;Table135[שולחן],0)),TeamList[מס"ד],TeamList[מס'' הקבוצה]),"")</f>
        <v>1697</v>
      </c>
      <c r="I16" s="188" cm="1">
        <f t="array" ref="I16">IFERROR(_xlfn.XLOOKUP(INDEX(Table135[מס"ד],MATCH($A16&amp;"7 אדום",Table135[מקצה]&amp;Table135[שולחן],0)),TeamList2[מס"ד],TeamList2[מס'' הקבוצה]),"")</f>
        <v>1521</v>
      </c>
      <c r="J16" s="96" cm="1">
        <f t="array" ref="J16">IFERROR(_xlfn.XLOOKUP(INDEX(Table135[מס"ד],MATCH($A16&amp;"8 אדום",Table135[מקצה]&amp;Table135[שולחן],0)),TeamList[מס"ד],TeamList[מס'' הקבוצה]),"")</f>
        <v>1099</v>
      </c>
      <c r="K16" s="188" cm="1">
        <f t="array" ref="K16">IFERROR(_xlfn.XLOOKUP(INDEX(Table135[מס"ד],MATCH($A16&amp;"8 אדום",Table135[מקצה]&amp;Table135[שולחן],0)),TeamList2[מס"ד],TeamList2[מס'' הקבוצה]),"")</f>
        <v>3101</v>
      </c>
      <c r="L16" s="96" cm="1">
        <f t="array" ref="L16">IFERROR(_xlfn.XLOOKUP(INDEX(Table135[מס"ד],MATCH($A16&amp;"5 כחול",Table135[מקצה]&amp;Table135[שולחן],0)),TeamList[מס"ד],TeamList[מס'' הקבוצה]),"")</f>
        <v>1371</v>
      </c>
      <c r="M16" s="188" cm="1">
        <f t="array" ref="M16">IFERROR(_xlfn.XLOOKUP(INDEX(Table135[מס"ד],MATCH($A16&amp;"5 כחול",Table135[מקצה]&amp;Table135[שולחן],0)),TeamList2[מס"ד],TeamList2[מס'' הקבוצה]),"")</f>
        <v>3003</v>
      </c>
      <c r="N16" s="96" cm="1">
        <f t="array" ref="N16">IFERROR(_xlfn.XLOOKUP(INDEX(Table135[מס"ד],MATCH($A16&amp;"6 כחול",Table135[מקצה]&amp;Table135[שולחן],0)),TeamList[מס"ד],TeamList[מס'' הקבוצה]),"")</f>
        <v>3022</v>
      </c>
      <c r="O16" s="188" cm="1">
        <f t="array" ref="O16">IFERROR(_xlfn.XLOOKUP(INDEX(Table135[מס"ד],MATCH($A16&amp;"6 כחול",Table135[מקצה]&amp;Table135[שולחן],0)),TeamList2[מס"ד],TeamList2[מס'' הקבוצה]),"")</f>
        <v>693</v>
      </c>
      <c r="P16" s="96" cm="1">
        <f t="array" ref="P16">IFERROR(_xlfn.XLOOKUP(INDEX(Table135[מס"ד],MATCH($A16&amp;"7 כחול",Table135[מקצה]&amp;Table135[שולחן],0)),TeamList[מס"ד],TeamList[מס'' הקבוצה]),"")</f>
        <v>2622</v>
      </c>
      <c r="Q16" s="188" cm="1">
        <f t="array" ref="Q16">IFERROR(_xlfn.XLOOKUP(INDEX(Table135[מס"ד],MATCH($A16&amp;"7 כחול",Table135[מקצה]&amp;Table135[שולחן],0)),TeamList2[מס"ד],TeamList2[מס'' הקבוצה]),"")</f>
        <v>771</v>
      </c>
      <c r="R16" s="96" cm="1">
        <f t="array" ref="R16">IFERROR(_xlfn.XLOOKUP(INDEX(Table135[מס"ד],MATCH($A16&amp;"8 כחול",Table135[מקצה]&amp;Table135[שולחן],0)),TeamList[מס"ד],TeamList[מס'' הקבוצה]),"")</f>
        <v>2130</v>
      </c>
      <c r="S16" s="124" cm="1">
        <f t="array" ref="S16">IFERROR(_xlfn.XLOOKUP(INDEX(Table135[מס"ד],MATCH($A16&amp;"8 כחול",Table135[מקצה]&amp;Table135[שולחן],0)),TeamList2[מס"ד],TeamList2[מס'' הקבוצה]),"")</f>
        <v>697</v>
      </c>
    </row>
    <row r="17" spans="1:19" ht="26.4" customHeight="1" x14ac:dyDescent="0.65">
      <c r="A17" s="111">
        <f>A16+1</f>
        <v>53</v>
      </c>
      <c r="B17" s="112">
        <f>B16+ORM</f>
        <v>0.68055555555555547</v>
      </c>
      <c r="C17" s="113">
        <f t="shared" si="1"/>
        <v>0.6826388888888888</v>
      </c>
      <c r="D17" s="114" t="str" cm="1">
        <f t="array" ref="D17">IFERROR(_xlfn.XLOOKUP(INDEX(Table135[מס"ד],MATCH($A17&amp;"5 אדום",Table135[מקצה]&amp;Table135[שולחן],0)),TeamList[מס"ד],TeamList[מס'' הקבוצה]),"")</f>
        <v/>
      </c>
      <c r="E17" s="187" t="str" cm="1">
        <f t="array" ref="E17">IFERROR(_xlfn.XLOOKUP(INDEX(Table135[מס"ד],MATCH($A17&amp;"5 אדום",Table135[מקצה]&amp;Table135[שולחן],0)),TeamList2[מס"ד],TeamList2[מס'' הקבוצה]),"")</f>
        <v/>
      </c>
      <c r="F17" s="114" t="str" cm="1">
        <f t="array" ref="F17">IFERROR(_xlfn.XLOOKUP(INDEX(Table135[מס"ד],MATCH($A17&amp;"6 אדום",Table135[מקצה]&amp;Table135[שולחן],0)),TeamList[מס"ד],TeamList[מס'' הקבוצה]),"")</f>
        <v/>
      </c>
      <c r="G17" s="187" t="str" cm="1">
        <f t="array" ref="G17">IFERROR(_xlfn.XLOOKUP(INDEX(Table135[מס"ד],MATCH($A17&amp;"6 אדום",Table135[מקצה]&amp;Table135[שולחן],0)),TeamList2[מס"ד],TeamList2[מס'' הקבוצה]),"")</f>
        <v/>
      </c>
      <c r="H17" s="114" t="str" cm="1">
        <f t="array" ref="H17">IFERROR(_xlfn.XLOOKUP(INDEX(Table135[מס"ד],MATCH($A17&amp;"7 אדום",Table135[מקצה]&amp;Table135[שולחן],0)),TeamList[מס"ד],TeamList[מס'' הקבוצה]),"")</f>
        <v/>
      </c>
      <c r="I17" s="187" t="str" cm="1">
        <f t="array" ref="I17">IFERROR(_xlfn.XLOOKUP(INDEX(Table135[מס"ד],MATCH($A17&amp;"7 אדום",Table135[מקצה]&amp;Table135[שולחן],0)),TeamList2[מס"ד],TeamList2[מס'' הקבוצה]),"")</f>
        <v/>
      </c>
      <c r="J17" s="114" t="str" cm="1">
        <f t="array" ref="J17">IFERROR(_xlfn.XLOOKUP(INDEX(Table135[מס"ד],MATCH($A17&amp;"8 אדום",Table135[מקצה]&amp;Table135[שולחן],0)),TeamList[מס"ד],TeamList[מס'' הקבוצה]),"")</f>
        <v/>
      </c>
      <c r="K17" s="187" t="str" cm="1">
        <f t="array" ref="K17">IFERROR(_xlfn.XLOOKUP(INDEX(Table135[מס"ד],MATCH($A17&amp;"8 אדום",Table135[מקצה]&amp;Table135[שולחן],0)),TeamList2[מס"ד],TeamList2[מס'' הקבוצה]),"")</f>
        <v/>
      </c>
      <c r="L17" s="114" t="str" cm="1">
        <f t="array" ref="L17">IFERROR(_xlfn.XLOOKUP(INDEX(Table135[מס"ד],MATCH($A17&amp;"5 כחול",Table135[מקצה]&amp;Table135[שולחן],0)),TeamList[מס"ד],TeamList[מס'' הקבוצה]),"")</f>
        <v/>
      </c>
      <c r="M17" s="187" t="str" cm="1">
        <f t="array" ref="M17">IFERROR(_xlfn.XLOOKUP(INDEX(Table135[מס"ד],MATCH($A17&amp;"5 כחול",Table135[מקצה]&amp;Table135[שולחן],0)),TeamList2[מס"ד],TeamList2[מס'' הקבוצה]),"")</f>
        <v/>
      </c>
      <c r="N17" s="114" t="str" cm="1">
        <f t="array" ref="N17">IFERROR(_xlfn.XLOOKUP(INDEX(Table135[מס"ד],MATCH($A17&amp;"6 כחול",Table135[מקצה]&amp;Table135[שולחן],0)),TeamList[מס"ד],TeamList[מס'' הקבוצה]),"")</f>
        <v/>
      </c>
      <c r="O17" s="187" t="str" cm="1">
        <f t="array" ref="O17">IFERROR(_xlfn.XLOOKUP(INDEX(Table135[מס"ד],MATCH($A17&amp;"6 כחול",Table135[מקצה]&amp;Table135[שולחן],0)),TeamList2[מס"ד],TeamList2[מס'' הקבוצה]),"")</f>
        <v/>
      </c>
      <c r="P17" s="114" t="str" cm="1">
        <f t="array" ref="P17">IFERROR(_xlfn.XLOOKUP(INDEX(Table135[מס"ד],MATCH($A17&amp;"7 כחול",Table135[מקצה]&amp;Table135[שולחן],0)),TeamList[מס"ד],TeamList[מס'' הקבוצה]),"")</f>
        <v/>
      </c>
      <c r="Q17" s="187" t="str" cm="1">
        <f t="array" ref="Q17">IFERROR(_xlfn.XLOOKUP(INDEX(Table135[מס"ד],MATCH($A17&amp;"7 כחול",Table135[מקצה]&amp;Table135[שולחן],0)),TeamList2[מס"ד],TeamList2[מס'' הקבוצה]),"")</f>
        <v/>
      </c>
      <c r="R17" s="114" t="str" cm="1">
        <f t="array" ref="R17">IFERROR(_xlfn.XLOOKUP(INDEX(Table135[מס"ד],MATCH($A17&amp;"8 כחול",Table135[מקצה]&amp;Table135[שולחן],0)),TeamList[מס"ד],TeamList[מס'' הקבוצה]),"")</f>
        <v/>
      </c>
      <c r="S17" s="115" t="str" cm="1">
        <f t="array" ref="S17">IFERROR(_xlfn.XLOOKUP(INDEX(Table135[מס"ד],MATCH($A17&amp;"8 כחול",Table135[מקצה]&amp;Table135[שולחן],0)),TeamList2[מס"ד],TeamList2[מס'' הקבוצה]),"")</f>
        <v/>
      </c>
    </row>
    <row r="18" spans="1:19" ht="26.4" customHeight="1" thickBot="1" x14ac:dyDescent="0.8">
      <c r="A18" s="189">
        <f>A17+1</f>
        <v>54</v>
      </c>
      <c r="B18" s="190">
        <f>B17+ORM</f>
        <v>0.68402777777777768</v>
      </c>
      <c r="C18" s="191">
        <f t="shared" si="1"/>
        <v>0.68611111111111101</v>
      </c>
      <c r="D18" s="192" cm="1">
        <f t="array" ref="D18">IFERROR(_xlfn.XLOOKUP(INDEX(Table135[מס"ד],MATCH($A18&amp;"5 אדום",Table135[מקצה]&amp;Table135[שולחן],0)),TeamList[מס"ד],TeamList[מס'' הקבוצה]),"")</f>
        <v>2954</v>
      </c>
      <c r="E18" s="193" cm="1">
        <f t="array" ref="E18">IFERROR(_xlfn.XLOOKUP(INDEX(Table135[מס"ד],MATCH($A18&amp;"5 אדום",Table135[מקצה]&amp;Table135[שולחן],0)),TeamList2[מס"ד],TeamList2[מס'' הקבוצה]),"")</f>
        <v>72</v>
      </c>
      <c r="F18" s="192" cm="1">
        <f t="array" ref="F18">IFERROR(_xlfn.XLOOKUP(INDEX(Table135[מס"ד],MATCH($A18&amp;"6 אדום",Table135[מקצה]&amp;Table135[שולחן],0)),TeamList[מס"ד],TeamList[מס'' הקבוצה]),"")</f>
        <v>1043</v>
      </c>
      <c r="G18" s="193" cm="1">
        <f t="array" ref="G18">IFERROR(_xlfn.XLOOKUP(INDEX(Table135[מס"ד],MATCH($A18&amp;"6 אדום",Table135[מקצה]&amp;Table135[שולחן],0)),TeamList2[מס"ד],TeamList2[מס'' הקבוצה]),"")</f>
        <v>957</v>
      </c>
      <c r="H18" s="192" cm="1">
        <f t="array" ref="H18">IFERROR(_xlfn.XLOOKUP(INDEX(Table135[מס"ד],MATCH($A18&amp;"7 אדום",Table135[מקצה]&amp;Table135[שולחן],0)),TeamList[מס"ד],TeamList[מס'' הקבוצה]),"")</f>
        <v>662</v>
      </c>
      <c r="I18" s="193" cm="1">
        <f t="array" ref="I18">IFERROR(_xlfn.XLOOKUP(INDEX(Table135[מס"ד],MATCH($A18&amp;"7 אדום",Table135[מקצה]&amp;Table135[שולחן],0)),TeamList2[מס"ד],TeamList2[מס'' הקבוצה]),"")</f>
        <v>3002</v>
      </c>
      <c r="J18" s="192" cm="1">
        <f t="array" ref="J18">IFERROR(_xlfn.XLOOKUP(INDEX(Table135[מס"ד],MATCH($A18&amp;"8 אדום",Table135[מקצה]&amp;Table135[שולחן],0)),TeamList[מס"ד],TeamList[מס'' הקבוצה]),"")</f>
        <v>3184</v>
      </c>
      <c r="K18" s="193" cm="1">
        <f t="array" ref="K18">IFERROR(_xlfn.XLOOKUP(INDEX(Table135[מס"ד],MATCH($A18&amp;"8 אדום",Table135[מקצה]&amp;Table135[שולחן],0)),TeamList2[מס"ד],TeamList2[מס'' הקבוצה]),"")</f>
        <v>1964</v>
      </c>
      <c r="L18" s="192" cm="1">
        <f t="array" ref="L18">IFERROR(_xlfn.XLOOKUP(INDEX(Table135[מס"ד],MATCH($A18&amp;"5 כחול",Table135[מקצה]&amp;Table135[שולחן],0)),TeamList[מס"ד],TeamList[מס'' הקבוצה]),"")</f>
        <v>515</v>
      </c>
      <c r="M18" s="193" cm="1">
        <f t="array" ref="M18">IFERROR(_xlfn.XLOOKUP(INDEX(Table135[מס"ד],MATCH($A18&amp;"5 כחול",Table135[מקצה]&amp;Table135[שולחן],0)),TeamList2[מס"ד],TeamList2[מס'' הקבוצה]),"")</f>
        <v>2238</v>
      </c>
      <c r="N18" s="192" cm="1">
        <f t="array" ref="N18">IFERROR(_xlfn.XLOOKUP(INDEX(Table135[מס"ד],MATCH($A18&amp;"6 כחול",Table135[מקצה]&amp;Table135[שולחן],0)),TeamList[מס"ד],TeamList[מס'' הקבוצה]),"")</f>
        <v>1864</v>
      </c>
      <c r="O18" s="193" cm="1">
        <f t="array" ref="O18">IFERROR(_xlfn.XLOOKUP(INDEX(Table135[מס"ד],MATCH($A18&amp;"6 כחול",Table135[מקצה]&amp;Table135[שולחן],0)),TeamList2[מס"ד],TeamList2[מס'' הקבוצה]),"")</f>
        <v>3192</v>
      </c>
      <c r="P18" s="192" cm="1">
        <f t="array" ref="P18">IFERROR(_xlfn.XLOOKUP(INDEX(Table135[מס"ד],MATCH($A18&amp;"7 כחול",Table135[מקצה]&amp;Table135[שולחן],0)),TeamList[מס"ד],TeamList[מס'' הקבוצה]),"")</f>
        <v>1214</v>
      </c>
      <c r="Q18" s="193" cm="1">
        <f t="array" ref="Q18">IFERROR(_xlfn.XLOOKUP(INDEX(Table135[מס"ד],MATCH($A18&amp;"7 כחול",Table135[מקצה]&amp;Table135[שולחן],0)),TeamList2[מס"ד],TeamList2[מס'' הקבוצה]),"")</f>
        <v>3288</v>
      </c>
      <c r="R18" s="192" cm="1">
        <f t="array" ref="R18">IFERROR(_xlfn.XLOOKUP(INDEX(Table135[מס"ד],MATCH($A18&amp;"8 כחול",Table135[מקצה]&amp;Table135[שולחן],0)),TeamList[מס"ד],TeamList[מס'' הקבוצה]),"")</f>
        <v>1720</v>
      </c>
      <c r="S18" s="194" t="str" cm="1">
        <f t="array" ref="S18">IFERROR(_xlfn.XLOOKUP(INDEX(Table135[מס"ד],MATCH($A18&amp;"8 כחול",Table135[מקצה]&amp;Table135[שולחן],0)),TeamList2[מס"ד],TeamList2[מס'' הקבוצה]),"")</f>
        <v/>
      </c>
    </row>
  </sheetData>
  <mergeCells count="21">
    <mergeCell ref="A11:S11"/>
    <mergeCell ref="D12:E12"/>
    <mergeCell ref="F12:G12"/>
    <mergeCell ref="H12:I12"/>
    <mergeCell ref="J12:K12"/>
    <mergeCell ref="L12:M12"/>
    <mergeCell ref="N12:O12"/>
    <mergeCell ref="P12:Q12"/>
    <mergeCell ref="R12:S12"/>
    <mergeCell ref="A1:E1"/>
    <mergeCell ref="F1:G1"/>
    <mergeCell ref="O1:P1"/>
    <mergeCell ref="A2:S2"/>
    <mergeCell ref="D3:E3"/>
    <mergeCell ref="F3:G3"/>
    <mergeCell ref="H3:I3"/>
    <mergeCell ref="J3:K3"/>
    <mergeCell ref="L3:M3"/>
    <mergeCell ref="N3:O3"/>
    <mergeCell ref="P3:Q3"/>
    <mergeCell ref="R3:S3"/>
  </mergeCells>
  <phoneticPr fontId="19" type="noConversion"/>
  <pageMargins left="0.28000000000000003" right="0.36" top="1.02" bottom="0.75" header="0.3" footer="0.3"/>
  <pageSetup paperSize="9" scale="77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938-53C4-4896-9B95-9F1607FB3E96}">
  <sheetPr codeName="Sheet3"/>
  <dimension ref="A1:T19"/>
  <sheetViews>
    <sheetView rightToLeft="1" topLeftCell="K1" workbookViewId="0">
      <selection activeCell="AH9" sqref="AH9"/>
    </sheetView>
  </sheetViews>
  <sheetFormatPr defaultRowHeight="14.25" x14ac:dyDescent="0.65"/>
  <cols>
    <col min="1" max="1" width="5.20703125" hidden="1" customWidth="1"/>
    <col min="2" max="2" width="12.08203125" style="5" hidden="1" customWidth="1"/>
    <col min="3" max="3" width="11" style="5" hidden="1" customWidth="1"/>
    <col min="4" max="10" width="8.7890625" hidden="1" customWidth="1"/>
    <col min="11" max="11" width="6" style="4" customWidth="1"/>
    <col min="12" max="13" width="8.7890625" style="1"/>
    <col min="14" max="20" width="11.70703125" style="1" customWidth="1"/>
    <col min="21" max="21" width="11.70703125" customWidth="1"/>
  </cols>
  <sheetData>
    <row r="1" spans="1:20" ht="19.2" customHeight="1" thickBot="1" x14ac:dyDescent="0.8">
      <c r="D1" s="267" t="s">
        <v>5</v>
      </c>
      <c r="E1" s="267"/>
      <c r="F1" s="267"/>
      <c r="G1" s="267"/>
      <c r="H1" s="267"/>
      <c r="I1" s="267"/>
      <c r="J1" s="267"/>
      <c r="L1" s="21"/>
      <c r="M1" s="21"/>
      <c r="N1" s="270" t="s">
        <v>131</v>
      </c>
      <c r="O1" s="270"/>
      <c r="P1" s="270"/>
      <c r="Q1" s="22" t="str">
        <f>" "&amp;'רשימת הקבוצות'!$C$1</f>
        <v xml:space="preserve"> מוקדמות מס'</v>
      </c>
      <c r="R1" s="92" t="str">
        <f>'רשימת הקבוצות'!$D$1</f>
        <v>4   בית אדום</v>
      </c>
      <c r="S1" s="271">
        <f>'רשימת הקבוצות'!$E$1</f>
        <v>44965</v>
      </c>
      <c r="T1" s="271"/>
    </row>
    <row r="2" spans="1:20" ht="19.2" customHeight="1" thickTop="1" thickBot="1" x14ac:dyDescent="0.8">
      <c r="B2" s="11" t="s">
        <v>22</v>
      </c>
      <c r="C2" s="11" t="s">
        <v>23</v>
      </c>
      <c r="D2" s="96" t="s">
        <v>132</v>
      </c>
      <c r="E2" s="96" t="s">
        <v>133</v>
      </c>
      <c r="F2" s="96" t="s">
        <v>134</v>
      </c>
      <c r="G2" s="96" t="s">
        <v>135</v>
      </c>
      <c r="H2" s="96" t="s">
        <v>136</v>
      </c>
      <c r="I2" s="96" t="s">
        <v>137</v>
      </c>
      <c r="J2" s="96" t="s">
        <v>138</v>
      </c>
    </row>
    <row r="3" spans="1:20" ht="24" customHeight="1" thickBot="1" x14ac:dyDescent="0.8">
      <c r="A3" s="3">
        <v>0</v>
      </c>
      <c r="B3" s="11">
        <f>start_judging</f>
        <v>0.36458333333333331</v>
      </c>
      <c r="C3" s="5">
        <f>Judging_Timetable[[#This Row],[התחלה]]+JR</f>
        <v>0.39583333333333331</v>
      </c>
      <c r="D3" s="1">
        <f ca="1">IFERROR(INDEX(OFFSET('תכנית לפי קבוצות'!$S$62,$A3*ROOMS,0,ROOMS,1),MATCH(D$10,OFFSET('תכנית לפי קבוצות'!$T$62,$A3*ROOMS,0,ROOMS,1),0),1),0)</f>
        <v>1</v>
      </c>
      <c r="E3" s="1">
        <f ca="1">IFERROR(INDEX(OFFSET('תכנית לפי קבוצות'!$S$62,$A3*ROOMS,0,ROOMS,1),MATCH(E$10,OFFSET('תכנית לפי קבוצות'!$T$62,$A3*ROOMS,0,ROOMS,1),0),1),0)</f>
        <v>2</v>
      </c>
      <c r="F3" s="1">
        <f ca="1">IFERROR(INDEX(OFFSET('תכנית לפי קבוצות'!$S$62,$A3*ROOMS,0,ROOMS,1),MATCH(F$10,OFFSET('תכנית לפי קבוצות'!$T$62,$A3*ROOMS,0,ROOMS,1),0),1),0)</f>
        <v>3</v>
      </c>
      <c r="G3" s="1">
        <f ca="1">IFERROR(INDEX(OFFSET('תכנית לפי קבוצות'!$S$62,$A3*ROOMS,0,ROOMS,1),MATCH(G$10,OFFSET('תכנית לפי קבוצות'!$T$62,$A3*ROOMS,0,ROOMS,1),0),1),0)</f>
        <v>4</v>
      </c>
      <c r="H3" s="1">
        <f ca="1">IFERROR(INDEX(OFFSET('תכנית לפי קבוצות'!$S$62,$A3*ROOMS,0,ROOMS,1),MATCH(H$10,OFFSET('תכנית לפי קבוצות'!$T$62,$A3*ROOMS,0,ROOMS,1),0),1),0)</f>
        <v>5</v>
      </c>
      <c r="I3" s="1">
        <f ca="1">IFERROR(INDEX(OFFSET('תכנית לפי קבוצות'!$S$62,$A3*ROOMS,0,ROOMS,1),MATCH(I$10,OFFSET('תכנית לפי קבוצות'!$T$62,$A3*ROOMS,0,ROOMS,1),0),1),0)</f>
        <v>6</v>
      </c>
      <c r="J3" s="1">
        <f ca="1">IFERROR(INDEX(OFFSET('תכנית לפי קבוצות'!$S$62,$A3*ROOMS,0,ROOMS,1),MATCH(J$10,OFFSET('תכנית לפי קבוצות'!$T$62,$A3*ROOMS,0,ROOMS,1),0),1),0)</f>
        <v>7</v>
      </c>
      <c r="K3" s="12"/>
      <c r="L3" s="268" t="s">
        <v>22</v>
      </c>
      <c r="M3" s="265" t="s">
        <v>23</v>
      </c>
      <c r="N3" s="262" t="s">
        <v>28</v>
      </c>
      <c r="O3" s="263"/>
      <c r="P3" s="263"/>
      <c r="Q3" s="263"/>
      <c r="R3" s="263"/>
      <c r="S3" s="263"/>
      <c r="T3" s="264"/>
    </row>
    <row r="4" spans="1:20" ht="24" customHeight="1" thickBot="1" x14ac:dyDescent="0.8">
      <c r="A4" s="3">
        <v>1</v>
      </c>
      <c r="B4" s="11">
        <f>IF(A4&lt;=1,start_judging+JR*A4,IF(A4&lt;=3,start_judging+JR*A4+JB,start_judging+JR*A4+JB+JL))</f>
        <v>0.39583333333333331</v>
      </c>
      <c r="C4" s="5">
        <f>Judging_Timetable[[#This Row],[התחלה]]+JR</f>
        <v>0.42708333333333331</v>
      </c>
      <c r="D4" s="1">
        <f ca="1">IFERROR(INDEX(OFFSET('תכנית לפי קבוצות'!$S$62,$A4*ROOMS,0,ROOMS,1),MATCH(D$10,OFFSET('תכנית לפי קבוצות'!$T$62,$A4*ROOMS,0,ROOMS,1),0),1),0)</f>
        <v>8</v>
      </c>
      <c r="E4" s="1">
        <f ca="1">IFERROR(INDEX(OFFSET('תכנית לפי קבוצות'!$S$62,$A4*ROOMS,0,ROOMS,1),MATCH(E$10,OFFSET('תכנית לפי קבוצות'!$T$62,$A4*ROOMS,0,ROOMS,1),0),1),0)</f>
        <v>9</v>
      </c>
      <c r="F4" s="1">
        <f ca="1">IFERROR(INDEX(OFFSET('תכנית לפי קבוצות'!$S$62,$A4*ROOMS,0,ROOMS,1),MATCH(F$10,OFFSET('תכנית לפי קבוצות'!$T$62,$A4*ROOMS,0,ROOMS,1),0),1),0)</f>
        <v>10</v>
      </c>
      <c r="G4" s="1">
        <f ca="1">IFERROR(INDEX(OFFSET('תכנית לפי קבוצות'!$S$62,$A4*ROOMS,0,ROOMS,1),MATCH(G$10,OFFSET('תכנית לפי קבוצות'!$T$62,$A4*ROOMS,0,ROOMS,1),0),1),0)</f>
        <v>11</v>
      </c>
      <c r="H4" s="1">
        <f ca="1">IFERROR(INDEX(OFFSET('תכנית לפי קבוצות'!$S$62,$A4*ROOMS,0,ROOMS,1),MATCH(H$10,OFFSET('תכנית לפי קבוצות'!$T$62,$A4*ROOMS,0,ROOMS,1),0),1),0)</f>
        <v>12</v>
      </c>
      <c r="I4" s="1">
        <f ca="1">IFERROR(INDEX(OFFSET('תכנית לפי קבוצות'!$S$62,$A4*ROOMS,0,ROOMS,1),MATCH(I$10,OFFSET('תכנית לפי קבוצות'!$T$62,$A4*ROOMS,0,ROOMS,1),0),1),0)</f>
        <v>13</v>
      </c>
      <c r="J4" s="1">
        <f ca="1">IFERROR(INDEX(OFFSET('תכנית לפי קבוצות'!$S$62,$A4*ROOMS,0,ROOMS,1),MATCH(J$10,OFFSET('תכנית לפי קבוצות'!$T$62,$A4*ROOMS,0,ROOMS,1),0),1),0)</f>
        <v>14</v>
      </c>
      <c r="K4" s="12"/>
      <c r="L4" s="269"/>
      <c r="M4" s="266"/>
      <c r="N4" s="13" t="str">
        <f>"חדר "&amp;'תכנית לפי קבוצות'!$AA$3</f>
        <v>חדר 1 אדום</v>
      </c>
      <c r="O4" s="13" t="str">
        <f>"חדר "&amp;'תכנית לפי קבוצות'!$AA$4</f>
        <v>חדר 2 אדום</v>
      </c>
      <c r="P4" s="13" t="str">
        <f>"חדר "&amp;'תכנית לפי קבוצות'!$AA$5</f>
        <v>חדר 3 אדום</v>
      </c>
      <c r="Q4" s="13" t="str">
        <f>"חדר "&amp;'תכנית לפי קבוצות'!$AA$6</f>
        <v>חדר 4 אדום</v>
      </c>
      <c r="R4" s="13" t="str">
        <f>"חדר "&amp;'תכנית לפי קבוצות'!$AA$7</f>
        <v>חדר 5 אדום</v>
      </c>
      <c r="S4" s="13" t="str">
        <f>"חדר "&amp;'תכנית לפי קבוצות'!$AA$8</f>
        <v>חדר 6 אדום</v>
      </c>
      <c r="T4" s="138" t="str">
        <f>"חדר "&amp;'תכנית לפי קבוצות'!$AA$9</f>
        <v>חדר 7 אדום</v>
      </c>
    </row>
    <row r="5" spans="1:20" ht="24" customHeight="1" thickBot="1" x14ac:dyDescent="0.8">
      <c r="A5" s="3">
        <v>2</v>
      </c>
      <c r="B5" s="11">
        <f>IF(A5&lt;=1,start_judging+JR*A5,IF(A5&lt;=3,start_judging+JR*A5+JB,start_judging+JR*A5+JB+JL))</f>
        <v>0.4375</v>
      </c>
      <c r="C5" s="5">
        <f>Judging_Timetable[[#This Row],[התחלה]]+JR</f>
        <v>0.46875</v>
      </c>
      <c r="D5" s="1">
        <f ca="1">IFERROR(INDEX(OFFSET('תכנית לפי קבוצות'!$S$62,$A5*ROOMS,0,ROOMS,1),MATCH(D$10,OFFSET('תכנית לפי קבוצות'!$T$62,$A5*ROOMS,0,ROOMS,1),0),1),0)</f>
        <v>15</v>
      </c>
      <c r="E5" s="1">
        <f ca="1">IFERROR(INDEX(OFFSET('תכנית לפי קבוצות'!$S$62,$A5*ROOMS,0,ROOMS,1),MATCH(E$10,OFFSET('תכנית לפי קבוצות'!$T$62,$A5*ROOMS,0,ROOMS,1),0),1),0)</f>
        <v>16</v>
      </c>
      <c r="F5" s="1">
        <f ca="1">IFERROR(INDEX(OFFSET('תכנית לפי קבוצות'!$S$62,$A5*ROOMS,0,ROOMS,1),MATCH(F$10,OFFSET('תכנית לפי קבוצות'!$T$62,$A5*ROOMS,0,ROOMS,1),0),1),0)</f>
        <v>17</v>
      </c>
      <c r="G5" s="1">
        <f ca="1">IFERROR(INDEX(OFFSET('תכנית לפי קבוצות'!$S$62,$A5*ROOMS,0,ROOMS,1),MATCH(G$10,OFFSET('תכנית לפי קבוצות'!$T$62,$A5*ROOMS,0,ROOMS,1),0),1),0)</f>
        <v>18</v>
      </c>
      <c r="H5" s="1">
        <f ca="1">IFERROR(INDEX(OFFSET('תכנית לפי קבוצות'!$S$62,$A5*ROOMS,0,ROOMS,1),MATCH(H$10,OFFSET('תכנית לפי קבוצות'!$T$62,$A5*ROOMS,0,ROOMS,1),0),1),0)</f>
        <v>19</v>
      </c>
      <c r="I5" s="1">
        <f ca="1">IFERROR(INDEX(OFFSET('תכנית לפי קבוצות'!$S$62,$A5*ROOMS,0,ROOMS,1),MATCH(I$10,OFFSET('תכנית לפי קבוצות'!$T$62,$A5*ROOMS,0,ROOMS,1),0),1),0)</f>
        <v>20</v>
      </c>
      <c r="J5" s="1">
        <f ca="1">IFERROR(INDEX(OFFSET('תכנית לפי קבוצות'!$S$62,$A5*ROOMS,0,ROOMS,1),MATCH(J$10,OFFSET('תכנית לפי קבוצות'!$T$62,$A5*ROOMS,0,ROOMS,1),0),1),0)</f>
        <v>21</v>
      </c>
      <c r="K5"/>
      <c r="L5" s="57">
        <f>M5-TIME(1,0,0)</f>
        <v>0.31249999999999994</v>
      </c>
      <c r="M5" s="57">
        <f>start_judging-TIME(0,15,0)</f>
        <v>0.35416666666666663</v>
      </c>
      <c r="N5" s="259" t="s">
        <v>109</v>
      </c>
      <c r="O5" s="260"/>
      <c r="P5" s="260"/>
      <c r="Q5" s="260"/>
      <c r="R5" s="260"/>
      <c r="S5" s="260"/>
      <c r="T5" s="261"/>
    </row>
    <row r="6" spans="1:20" ht="24" customHeight="1" x14ac:dyDescent="0.65">
      <c r="A6" s="3">
        <v>3</v>
      </c>
      <c r="B6" s="11">
        <f>IF(A6&lt;=1,start_judging+JR*A6,IF(A6&lt;=3,start_judging+JR*A6+JB,start_judging+JR*A6+JB+JL))</f>
        <v>0.46875</v>
      </c>
      <c r="C6" s="5">
        <f>Judging_Timetable[[#This Row],[התחלה]]+JR</f>
        <v>0.5</v>
      </c>
      <c r="D6" s="1">
        <f ca="1">IFERROR(INDEX(OFFSET('תכנית לפי קבוצות'!$S$62,$A6*ROOMS,0,ROOMS,1),MATCH(D$10,OFFSET('תכנית לפי קבוצות'!$T$62,$A6*ROOMS,0,ROOMS,1),0),1),0)</f>
        <v>22</v>
      </c>
      <c r="E6" s="1">
        <f ca="1">IFERROR(INDEX(OFFSET('תכנית לפי קבוצות'!$S$62,$A6*ROOMS,0,ROOMS,1),MATCH(E$10,OFFSET('תכנית לפי קבוצות'!$T$62,$A6*ROOMS,0,ROOMS,1),0),1),0)</f>
        <v>23</v>
      </c>
      <c r="F6" s="1">
        <f ca="1">IFERROR(INDEX(OFFSET('תכנית לפי קבוצות'!$S$62,$A6*ROOMS,0,ROOMS,1),MATCH(F$10,OFFSET('תכנית לפי קבוצות'!$T$62,$A6*ROOMS,0,ROOMS,1),0),1),0)</f>
        <v>24</v>
      </c>
      <c r="G6" s="1">
        <f ca="1">IFERROR(INDEX(OFFSET('תכנית לפי קבוצות'!$S$62,$A6*ROOMS,0,ROOMS,1),MATCH(G$10,OFFSET('תכנית לפי קבוצות'!$T$62,$A6*ROOMS,0,ROOMS,1),0),1),0)</f>
        <v>25</v>
      </c>
      <c r="H6" s="1">
        <f ca="1">IFERROR(INDEX(OFFSET('תכנית לפי קבוצות'!$S$62,$A6*ROOMS,0,ROOMS,1),MATCH(H$10,OFFSET('תכנית לפי קבוצות'!$T$62,$A6*ROOMS,0,ROOMS,1),0),1),0)</f>
        <v>26</v>
      </c>
      <c r="I6" s="1">
        <f ca="1">IFERROR(INDEX(OFFSET('תכנית לפי קבוצות'!$S$62,$A6*ROOMS,0,ROOMS,1),MATCH(I$10,OFFSET('תכנית לפי קבוצות'!$T$62,$A6*ROOMS,0,ROOMS,1),0),1),0)</f>
        <v>27</v>
      </c>
      <c r="J6" s="1">
        <f ca="1">IFERROR(INDEX(OFFSET('תכנית לפי קבוצות'!$S$62,$A6*ROOMS,0,ROOMS,1),MATCH(J$10,OFFSET('תכנית לפי קבוצות'!$T$62,$A6*ROOMS,0,ROOMS,1),0),1),0)</f>
        <v>28</v>
      </c>
      <c r="K6"/>
      <c r="L6" s="15">
        <f>start_judging</f>
        <v>0.36458333333333331</v>
      </c>
      <c r="M6" s="15">
        <f>C3</f>
        <v>0.39583333333333331</v>
      </c>
      <c r="N6" s="16">
        <f ca="1">IFERROR(_xlfn.XLOOKUP(D3,TeamList[מס"ד],TeamList[מס'' הקבוצה]),"")</f>
        <v>3163</v>
      </c>
      <c r="O6" s="16">
        <f ca="1">IFERROR(_xlfn.XLOOKUP(E3,TeamList[מס"ד],TeamList[מס'' הקבוצה]),"")</f>
        <v>3180</v>
      </c>
      <c r="P6" s="16">
        <f ca="1">IFERROR(_xlfn.XLOOKUP(F3,TeamList[מס"ד],TeamList[מס'' הקבוצה]),"")</f>
        <v>1042</v>
      </c>
      <c r="Q6" s="16">
        <f ca="1">IFERROR(_xlfn.XLOOKUP(G3,TeamList[מס"ד],TeamList[מס'' הקבוצה]),"")</f>
        <v>1825</v>
      </c>
      <c r="R6" s="16">
        <f ca="1">IFERROR(_xlfn.XLOOKUP(H3,TeamList[מס"ד],TeamList[מס'' הקבוצה]),"")</f>
        <v>3243</v>
      </c>
      <c r="S6" s="16">
        <f ca="1">IFERROR(_xlfn.XLOOKUP(I3,TeamList[מס"ד],TeamList[מס'' הקבוצה]),"")</f>
        <v>2954</v>
      </c>
      <c r="T6" s="215">
        <f ca="1">IFERROR(_xlfn.XLOOKUP(J3,TeamList[מס"ד],TeamList[מס'' הקבוצה]),"")</f>
        <v>2623</v>
      </c>
    </row>
    <row r="7" spans="1:20" ht="24" customHeight="1" thickBot="1" x14ac:dyDescent="0.8">
      <c r="A7" s="3">
        <v>4</v>
      </c>
      <c r="B7" s="11">
        <f>IF(A7&lt;=1,start_judging+JR*A7,IF(A7&lt;=4,start_judging+JR*A7+JB,start_judging+JR*A7+JB+JL))</f>
        <v>0.5</v>
      </c>
      <c r="C7" s="5">
        <f>Judging_Timetable[[#This Row],[התחלה]]+JR</f>
        <v>0.53125</v>
      </c>
      <c r="D7" s="1">
        <f ca="1">IFERROR(INDEX(OFFSET('תכנית לפי קבוצות'!$S$62,$A7*ROOMS,0,ROOMS,1),MATCH(D$10,OFFSET('תכנית לפי קבוצות'!$T$62,$A7*ROOMS,0,ROOMS,1),0),1),0)</f>
        <v>29</v>
      </c>
      <c r="E7" s="1">
        <f ca="1">IFERROR(INDEX(OFFSET('תכנית לפי קבוצות'!$S$62,$A7*ROOMS,0,ROOMS,1),MATCH(E$10,OFFSET('תכנית לפי קבוצות'!$T$62,$A7*ROOMS,0,ROOMS,1),0),1),0)</f>
        <v>30</v>
      </c>
      <c r="F7" s="1">
        <f ca="1">IFERROR(INDEX(OFFSET('תכנית לפי קבוצות'!$S$62,$A7*ROOMS,0,ROOMS,1),MATCH(F$10,OFFSET('תכנית לפי קבוצות'!$T$62,$A7*ROOMS,0,ROOMS,1),0),1),0)</f>
        <v>31</v>
      </c>
      <c r="G7" s="1">
        <f ca="1">IFERROR(INDEX(OFFSET('תכנית לפי קבוצות'!$S$62,$A7*ROOMS,0,ROOMS,1),MATCH(G$10,OFFSET('תכנית לפי קבוצות'!$T$62,$A7*ROOMS,0,ROOMS,1),0),1),0)</f>
        <v>32</v>
      </c>
      <c r="H7" s="1">
        <f ca="1">IFERROR(INDEX(OFFSET('תכנית לפי קבוצות'!$S$62,$A7*ROOMS,0,ROOMS,1),MATCH(H$10,OFFSET('תכנית לפי קבוצות'!$T$62,$A7*ROOMS,0,ROOMS,1),0),1),0)</f>
        <v>33</v>
      </c>
      <c r="I7" s="1">
        <f ca="1">IFERROR(INDEX(OFFSET('תכנית לפי קבוצות'!$S$62,$A7*ROOMS,0,ROOMS,1),MATCH(I$10,OFFSET('תכנית לפי קבוצות'!$T$62,$A7*ROOMS,0,ROOMS,1),0),1),0)</f>
        <v>34</v>
      </c>
      <c r="J7" s="1">
        <f ca="1">IFERROR(INDEX(OFFSET('תכנית לפי קבוצות'!$S$62,$A7*ROOMS,0,ROOMS,1),MATCH(J$10,OFFSET('תכנית לפי קבוצות'!$T$62,$A7*ROOMS,0,ROOMS,1),0),1),0)</f>
        <v>35</v>
      </c>
      <c r="K7"/>
      <c r="L7" s="199">
        <f t="shared" ref="L7:M7" si="0">B4</f>
        <v>0.39583333333333331</v>
      </c>
      <c r="M7" s="199">
        <f t="shared" si="0"/>
        <v>0.42708333333333331</v>
      </c>
      <c r="N7" s="200">
        <f ca="1">IFERROR(_xlfn.XLOOKUP(D4,TeamList[מס"ד],TeamList[מס'' הקבוצה]),"")</f>
        <v>2978</v>
      </c>
      <c r="O7" s="201">
        <f ca="1">IFERROR(_xlfn.XLOOKUP(E4,TeamList[מס"ד],TeamList[מס'' הקבוצה]),"")</f>
        <v>588</v>
      </c>
      <c r="P7" s="201">
        <f ca="1">IFERROR(_xlfn.XLOOKUP(F4,TeamList[מס"ד],TeamList[מס'' הקבוצה]),"")</f>
        <v>1371</v>
      </c>
      <c r="Q7" s="201">
        <f ca="1">IFERROR(_xlfn.XLOOKUP(G4,TeamList[מס"ד],TeamList[מס'' הקבוצה]),"")</f>
        <v>3139</v>
      </c>
      <c r="R7" s="201">
        <f ca="1">IFERROR(_xlfn.XLOOKUP(H4,TeamList[מס"ד],TeamList[מס'' הקבוצה]),"")</f>
        <v>515</v>
      </c>
      <c r="S7" s="201">
        <f ca="1">IFERROR(_xlfn.XLOOKUP(I4,TeamList[מס"ד],TeamList[מס'' הקבוצה]),"")</f>
        <v>3185</v>
      </c>
      <c r="T7" s="202">
        <f ca="1">IFERROR(_xlfn.XLOOKUP(J4,TeamList[מס"ד],TeamList[מס'' הקבוצה]),"")</f>
        <v>3179</v>
      </c>
    </row>
    <row r="8" spans="1:20" ht="24" customHeight="1" thickBot="1" x14ac:dyDescent="0.8">
      <c r="A8" s="3">
        <v>5</v>
      </c>
      <c r="B8" s="11">
        <f>IF(A8&lt;=1,start_judging+JR*A8,IF(A8&lt;=4,start_judging+JR*A8+JB,start_judging+JR*A8+JB+JL))</f>
        <v>0.56249999999999989</v>
      </c>
      <c r="C8" s="5">
        <f>Judging_Timetable[[#This Row],[התחלה]]+JR</f>
        <v>0.59374999999999989</v>
      </c>
      <c r="D8" s="1">
        <f ca="1">IFERROR(INDEX(OFFSET('תכנית לפי קבוצות'!$S$62,$A8*ROOMS,0,ROOMS,1),MATCH(D$10,OFFSET('תכנית לפי קבוצות'!$T$62,$A8*ROOMS,0,ROOMS,1),0),1),0)</f>
        <v>36</v>
      </c>
      <c r="E8" s="1">
        <f ca="1">IFERROR(INDEX(OFFSET('תכנית לפי קבוצות'!$S$62,$A8*ROOMS,0,ROOMS,1),MATCH(E$10,OFFSET('תכנית לפי קבוצות'!$T$62,$A8*ROOMS,0,ROOMS,1),0),1),0)</f>
        <v>37</v>
      </c>
      <c r="F8" s="1">
        <f ca="1">IFERROR(INDEX(OFFSET('תכנית לפי קבוצות'!$S$62,$A8*ROOMS,0,ROOMS,1),MATCH(F$10,OFFSET('תכנית לפי קבוצות'!$T$62,$A8*ROOMS,0,ROOMS,1),0),1),0)</f>
        <v>38</v>
      </c>
      <c r="G8" s="1">
        <f ca="1">IFERROR(INDEX(OFFSET('תכנית לפי קבוצות'!$S$62,$A8*ROOMS,0,ROOMS,1),MATCH(G$10,OFFSET('תכנית לפי קבוצות'!$T$62,$A8*ROOMS,0,ROOMS,1),0),1),0)</f>
        <v>39</v>
      </c>
      <c r="H8" s="1">
        <f ca="1">IFERROR(INDEX(OFFSET('תכנית לפי קבוצות'!$S$62,$A8*ROOMS,0,ROOMS,1),MATCH(H$10,OFFSET('תכנית לפי קבוצות'!$T$62,$A8*ROOMS,0,ROOMS,1),0),1),0)</f>
        <v>40</v>
      </c>
      <c r="I8" s="1">
        <f ca="1">IFERROR(INDEX(OFFSET('תכנית לפי קבוצות'!$S$62,$A8*ROOMS,0,ROOMS,1),MATCH(I$10,OFFSET('תכנית לפי קבוצות'!$T$62,$A8*ROOMS,0,ROOMS,1),0),1),0)</f>
        <v>41</v>
      </c>
      <c r="J8" s="1">
        <f ca="1">IFERROR(INDEX(OFFSET('תכנית לפי קבוצות'!$S$62,$A8*ROOMS,0,ROOMS,1),MATCH(J$10,OFFSET('תכנית לפי קבוצות'!$T$62,$A8*ROOMS,0,ROOMS,1),0),1),0)</f>
        <v>42</v>
      </c>
      <c r="K8"/>
      <c r="L8" s="14">
        <f>M7</f>
        <v>0.42708333333333331</v>
      </c>
      <c r="M8" s="14">
        <f>L8+JB</f>
        <v>0.4375</v>
      </c>
      <c r="N8" s="54" t="s">
        <v>183</v>
      </c>
      <c r="O8" s="55"/>
      <c r="P8" s="55"/>
      <c r="Q8" s="55"/>
      <c r="R8" s="55"/>
      <c r="S8" s="55"/>
      <c r="T8" s="56"/>
    </row>
    <row r="9" spans="1:20" ht="24" customHeight="1" x14ac:dyDescent="0.65">
      <c r="A9" s="3">
        <v>6</v>
      </c>
      <c r="B9" s="11">
        <f>IF(A9&lt;=1,start_judging+JR*A9,IF(A9&lt;=4,start_judging+JR*A9+JB,start_judging+JR*A9+JB+JL))</f>
        <v>0.59374999999999989</v>
      </c>
      <c r="C9" s="5">
        <f>Judging_Timetable[[#This Row],[התחלה]]+JR</f>
        <v>0.62499999999999989</v>
      </c>
      <c r="D9" s="1">
        <f ca="1">IFERROR(INDEX(OFFSET('תכנית לפי קבוצות'!$S$62,$A9*ROOMS,0,ROOMS,1),MATCH(D$10,OFFSET('תכנית לפי קבוצות'!$T$62,$A9*ROOMS,0,ROOMS,1),0),1),0)</f>
        <v>43</v>
      </c>
      <c r="E9" s="1">
        <f ca="1">IFERROR(INDEX(OFFSET('תכנית לפי קבוצות'!$S$62,$A9*ROOMS,0,ROOMS,1),MATCH(E$10,OFFSET('תכנית לפי קבוצות'!$T$62,$A9*ROOMS,0,ROOMS,1),0),1),0)</f>
        <v>44</v>
      </c>
      <c r="F9" s="1">
        <f ca="1">IFERROR(INDEX(OFFSET('תכנית לפי קבוצות'!$S$62,$A9*ROOMS,0,ROOMS,1),MATCH(F$10,OFFSET('תכנית לפי קבוצות'!$T$62,$A9*ROOMS,0,ROOMS,1),0),1),0)</f>
        <v>45</v>
      </c>
      <c r="G9" s="1">
        <f ca="1">IFERROR(INDEX(OFFSET('תכנית לפי קבוצות'!$S$62,$A9*ROOMS,0,ROOMS,1),MATCH(G$10,OFFSET('תכנית לפי קבוצות'!$T$62,$A9*ROOMS,0,ROOMS,1),0),1),0)</f>
        <v>46</v>
      </c>
      <c r="H9" s="1">
        <f ca="1">IFERROR(INDEX(OFFSET('תכנית לפי קבוצות'!$S$62,$A9*ROOMS,0,ROOMS,1),MATCH(H$10,OFFSET('תכנית לפי קבוצות'!$T$62,$A9*ROOMS,0,ROOMS,1),0),1),0)</f>
        <v>47</v>
      </c>
      <c r="I9" s="1">
        <f ca="1">IFERROR(INDEX(OFFSET('תכנית לפי קבוצות'!$S$62,$A9*ROOMS,0,ROOMS,1),MATCH(I$10,OFFSET('תכנית לפי קבוצות'!$T$62,$A9*ROOMS,0,ROOMS,1),0),1),0)</f>
        <v>48</v>
      </c>
      <c r="J9" s="1">
        <f ca="1">IFERROR(INDEX(OFFSET('תכנית לפי קבוצות'!$S$62,$A9*ROOMS,0,ROOMS,1),MATCH(J$10,OFFSET('תכנית לפי קבוצות'!$T$62,$A9*ROOMS,0,ROOMS,1),0),1),0)</f>
        <v>0</v>
      </c>
      <c r="K9"/>
      <c r="L9" s="15">
        <f t="shared" ref="L9:M11" si="1">B5</f>
        <v>0.4375</v>
      </c>
      <c r="M9" s="15">
        <f t="shared" si="1"/>
        <v>0.46875</v>
      </c>
      <c r="N9" s="16">
        <f ca="1">IFERROR(_xlfn.XLOOKUP(D5,TeamList[מס"ד],TeamList[מס'' הקבוצה]),"")</f>
        <v>3146</v>
      </c>
      <c r="O9" s="197">
        <f ca="1">IFERROR(_xlfn.XLOOKUP(E5,TeamList[מס"ד],TeamList[מס'' הקבוצה]),"")</f>
        <v>2977</v>
      </c>
      <c r="P9" s="197">
        <f ca="1">IFERROR(_xlfn.XLOOKUP(F5,TeamList[מס"ד],TeamList[מס'' הקבוצה]),"")</f>
        <v>1083</v>
      </c>
      <c r="Q9" s="197">
        <f ca="1">IFERROR(_xlfn.XLOOKUP(G5,TeamList[מס"ד],TeamList[מס'' הקבוצה]),"")</f>
        <v>1043</v>
      </c>
      <c r="R9" s="197">
        <f ca="1">IFERROR(_xlfn.XLOOKUP(H5,TeamList[מס"ד],TeamList[מס'' הקבוצה]),"")</f>
        <v>341</v>
      </c>
      <c r="S9" s="197">
        <f ca="1">IFERROR(_xlfn.XLOOKUP(I5,TeamList[מס"ד],TeamList[מס'' הקבוצה]),"")</f>
        <v>2222</v>
      </c>
      <c r="T9" s="198">
        <f ca="1">IFERROR(_xlfn.XLOOKUP(J5,TeamList[מס"ד],TeamList[מס'' הקבוצה]),"")</f>
        <v>3181</v>
      </c>
    </row>
    <row r="10" spans="1:20" ht="24" customHeight="1" x14ac:dyDescent="0.65">
      <c r="A10" s="3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/>
      <c r="L10" s="17">
        <f t="shared" si="1"/>
        <v>0.46875</v>
      </c>
      <c r="M10" s="17">
        <f t="shared" si="1"/>
        <v>0.5</v>
      </c>
      <c r="N10" s="18">
        <f ca="1">IFERROR(_xlfn.XLOOKUP(D6,TeamList[מס"ד],TeamList[מס'' הקבוצה]),"")</f>
        <v>3022</v>
      </c>
      <c r="O10" s="19">
        <f ca="1">IFERROR(_xlfn.XLOOKUP(E6,TeamList[מס"ד],TeamList[מס'' הקבוצה]),"")</f>
        <v>1152</v>
      </c>
      <c r="P10" s="19">
        <f ca="1">IFERROR(_xlfn.XLOOKUP(F6,TeamList[מס"ד],TeamList[מס'' הקבוצה]),"")</f>
        <v>1864</v>
      </c>
      <c r="Q10" s="19">
        <f ca="1">IFERROR(_xlfn.XLOOKUP(G6,TeamList[מס"ד],TeamList[מס'' הקבוצה]),"")</f>
        <v>2840</v>
      </c>
      <c r="R10" s="19">
        <f ca="1">IFERROR(_xlfn.XLOOKUP(H6,TeamList[מס"ד],TeamList[מס'' הקבוצה]),"")</f>
        <v>52</v>
      </c>
      <c r="S10" s="19">
        <f ca="1">IFERROR(_xlfn.XLOOKUP(I6,TeamList[מס"ד],TeamList[מס'' הקבוצה]),"")</f>
        <v>240</v>
      </c>
      <c r="T10" s="20">
        <f ca="1">IFERROR(_xlfn.XLOOKUP(J6,TeamList[מס"ד],TeamList[מס'' הקבוצה]),"")</f>
        <v>1697</v>
      </c>
    </row>
    <row r="11" spans="1:20" ht="24" customHeight="1" thickBot="1" x14ac:dyDescent="0.8">
      <c r="K11"/>
      <c r="L11" s="57">
        <f>B7</f>
        <v>0.5</v>
      </c>
      <c r="M11" s="57">
        <f t="shared" si="1"/>
        <v>0.53125</v>
      </c>
      <c r="N11" s="18">
        <f ca="1">IFERROR(_xlfn.XLOOKUP(D7,TeamList[מס"ד],TeamList[מס'' הקבוצה]),"")</f>
        <v>1333</v>
      </c>
      <c r="O11" s="19">
        <f ca="1">IFERROR(_xlfn.XLOOKUP(E7,TeamList[מס"ד],TeamList[מס'' הקבוצה]),"")</f>
        <v>662</v>
      </c>
      <c r="P11" s="19">
        <f ca="1">IFERROR(_xlfn.XLOOKUP(F7,TeamList[מס"ד],TeamList[מס'' הקבוצה]),"")</f>
        <v>1301</v>
      </c>
      <c r="Q11" s="19">
        <f ca="1">IFERROR(_xlfn.XLOOKUP(G7,TeamList[מס"ד],TeamList[מס'' הקבוצה]),"")</f>
        <v>3182</v>
      </c>
      <c r="R11" s="19">
        <f ca="1">IFERROR(_xlfn.XLOOKUP(H7,TeamList[מס"ד],TeamList[מס'' הקבוצה]),"")</f>
        <v>1324</v>
      </c>
      <c r="S11" s="19">
        <f ca="1">IFERROR(_xlfn.XLOOKUP(I7,TeamList[מס"ד],TeamList[מס'' הקבוצה]),"")</f>
        <v>2622</v>
      </c>
      <c r="T11" s="20">
        <f ca="1">IFERROR(_xlfn.XLOOKUP(J7,TeamList[מס"ד],TeamList[מס'' הקבוצה]),"")</f>
        <v>1616</v>
      </c>
    </row>
    <row r="12" spans="1:20" ht="24" customHeight="1" thickBot="1" x14ac:dyDescent="0.8">
      <c r="K12"/>
      <c r="L12" s="14">
        <f>M11</f>
        <v>0.53125</v>
      </c>
      <c r="M12" s="14">
        <f>L12+JL</f>
        <v>0.5625</v>
      </c>
      <c r="N12" s="259" t="s">
        <v>130</v>
      </c>
      <c r="O12" s="260"/>
      <c r="P12" s="260"/>
      <c r="Q12" s="260"/>
      <c r="R12" s="260"/>
      <c r="S12" s="260"/>
      <c r="T12" s="261"/>
    </row>
    <row r="13" spans="1:20" ht="24" customHeight="1" x14ac:dyDescent="0.65">
      <c r="K13"/>
      <c r="L13" s="15">
        <f>B8</f>
        <v>0.56249999999999989</v>
      </c>
      <c r="M13" s="15">
        <f>C8</f>
        <v>0.59374999999999989</v>
      </c>
      <c r="N13" s="16">
        <f ca="1">IFERROR(_xlfn.XLOOKUP(D8,TeamList[מס"ד],TeamList[מס'' הקבוצה]),"")</f>
        <v>1214</v>
      </c>
      <c r="O13" s="16">
        <f ca="1">IFERROR(_xlfn.XLOOKUP(E8,TeamList[מס"ד],TeamList[מס'' הקבוצה]),"")</f>
        <v>1300</v>
      </c>
      <c r="P13" s="16">
        <f ca="1">IFERROR(_xlfn.XLOOKUP(F8,TeamList[מס"ד],TeamList[מס'' הקבוצה]),"")</f>
        <v>3340</v>
      </c>
      <c r="Q13" s="16">
        <f ca="1">IFERROR(_xlfn.XLOOKUP(G8,TeamList[מס"ד],TeamList[מס'' הקבוצה]),"")</f>
        <v>3128</v>
      </c>
      <c r="R13" s="16">
        <f ca="1">IFERROR(_xlfn.XLOOKUP(H8,TeamList[מס"ד],TeamList[מס'' הקבוצה]),"")</f>
        <v>1099</v>
      </c>
      <c r="S13" s="16">
        <f ca="1">IFERROR(_xlfn.XLOOKUP(I8,TeamList[מס"ד],TeamList[מס'' הקבוצה]),"")</f>
        <v>3294</v>
      </c>
      <c r="T13" s="215">
        <f ca="1">IFERROR(_xlfn.XLOOKUP(J8,TeamList[מס"ד],TeamList[מס'' הקבוצה]),"")</f>
        <v>3184</v>
      </c>
    </row>
    <row r="14" spans="1:20" ht="24" customHeight="1" thickBot="1" x14ac:dyDescent="0.8">
      <c r="K14"/>
      <c r="L14" s="216">
        <f>B9</f>
        <v>0.59374999999999989</v>
      </c>
      <c r="M14" s="216">
        <f>C9</f>
        <v>0.62499999999999989</v>
      </c>
      <c r="N14" s="16">
        <f ca="1">IFERROR(_xlfn.XLOOKUP(D9,TeamList[מס"ד],TeamList[מס'' הקבוצה]),"")</f>
        <v>2748</v>
      </c>
      <c r="O14" s="16">
        <f ca="1">IFERROR(_xlfn.XLOOKUP(E9,TeamList[מס"ד],TeamList[מס'' הקבוצה]),"")</f>
        <v>1332</v>
      </c>
      <c r="P14" s="16">
        <f ca="1">IFERROR(_xlfn.XLOOKUP(F9,TeamList[מס"ד],TeamList[מס'' הקבוצה]),"")</f>
        <v>3006</v>
      </c>
      <c r="Q14" s="16">
        <f ca="1">IFERROR(_xlfn.XLOOKUP(G9,TeamList[מס"ד],TeamList[מס'' הקבוצה]),"")</f>
        <v>2130</v>
      </c>
      <c r="R14" s="16">
        <f ca="1">IFERROR(_xlfn.XLOOKUP(H9,TeamList[מס"ד],TeamList[מס'' הקבוצה]),"")</f>
        <v>2843</v>
      </c>
      <c r="S14" s="16">
        <f ca="1">IFERROR(_xlfn.XLOOKUP(I9,TeamList[מס"ד],TeamList[מס'' הקבוצה]),"")</f>
        <v>1720</v>
      </c>
      <c r="T14" s="215" t="str">
        <f ca="1">IFERROR(_xlfn.XLOOKUP(J9,TeamList[מס"ד],TeamList[מס'' הקבוצה]),"")</f>
        <v/>
      </c>
    </row>
    <row r="15" spans="1:20" ht="24" customHeight="1" thickBot="1" x14ac:dyDescent="0.8">
      <c r="K15"/>
      <c r="L15" s="83">
        <f>M14</f>
        <v>0.62499999999999989</v>
      </c>
      <c r="M15" s="83">
        <f>L15+_xlfn.XLOOKUP(N,break_scheduler['# of teams],break_scheduler[Rubrics review])</f>
        <v>0.63541666666666652</v>
      </c>
      <c r="N15" s="54" t="s">
        <v>124</v>
      </c>
      <c r="O15" s="55"/>
      <c r="P15" s="55"/>
      <c r="Q15" s="55"/>
      <c r="R15" s="55"/>
      <c r="S15" s="55"/>
      <c r="T15" s="56"/>
    </row>
    <row r="16" spans="1:20" ht="24" customHeight="1" thickBot="1" x14ac:dyDescent="0.8">
      <c r="K16"/>
      <c r="L16" s="14">
        <f>M15</f>
        <v>0.63541666666666652</v>
      </c>
      <c r="M16" s="14">
        <f>L16+_xlfn.XLOOKUP(N,break_scheduler['# of teams],break_scheduler[Deliberation])</f>
        <v>0.67708333333333315</v>
      </c>
      <c r="N16" s="54" t="s">
        <v>27</v>
      </c>
      <c r="O16" s="55"/>
      <c r="P16" s="55"/>
      <c r="Q16" s="55"/>
      <c r="R16" s="55"/>
      <c r="S16" s="55"/>
      <c r="T16" s="56"/>
    </row>
    <row r="17" spans="11:20" ht="24" customHeight="1" thickBot="1" x14ac:dyDescent="0.8">
      <c r="K17"/>
      <c r="L17" s="14">
        <f>M16</f>
        <v>0.67708333333333315</v>
      </c>
      <c r="M17" s="14">
        <f>L17+_xlfn.XLOOKUP(N,break_scheduler['# of teams],break_scheduler[Final Session])</f>
        <v>0.69791666666666652</v>
      </c>
      <c r="N17" s="54" t="s">
        <v>29</v>
      </c>
      <c r="O17" s="55"/>
      <c r="P17" s="55"/>
      <c r="Q17" s="55"/>
      <c r="R17" s="55"/>
      <c r="S17" s="55"/>
      <c r="T17" s="56"/>
    </row>
    <row r="18" spans="11:20" ht="24" customHeight="1" thickBot="1" x14ac:dyDescent="0.8">
      <c r="K18"/>
      <c r="L18" s="14">
        <f>סיום</f>
        <v>0.70833333333333315</v>
      </c>
      <c r="M18" s="14">
        <f>_xlfn.XLOOKUP(N,break_scheduler['# of teams],break_scheduler[END])</f>
        <v>0.73958333333333315</v>
      </c>
      <c r="N18" s="54" t="s">
        <v>38</v>
      </c>
      <c r="O18" s="55"/>
      <c r="P18" s="55"/>
      <c r="Q18" s="55"/>
      <c r="R18" s="55"/>
      <c r="S18" s="55"/>
      <c r="T18" s="56"/>
    </row>
    <row r="19" spans="11:20" ht="19.2" customHeight="1" x14ac:dyDescent="0.65">
      <c r="K19"/>
    </row>
  </sheetData>
  <mergeCells count="8">
    <mergeCell ref="N12:T12"/>
    <mergeCell ref="N5:T5"/>
    <mergeCell ref="N3:T3"/>
    <mergeCell ref="M3:M4"/>
    <mergeCell ref="D1:J1"/>
    <mergeCell ref="L3:L4"/>
    <mergeCell ref="N1:P1"/>
    <mergeCell ref="S1:T1"/>
  </mergeCells>
  <phoneticPr fontId="19" type="noConversion"/>
  <printOptions horizontalCentered="1" verticalCentered="1"/>
  <pageMargins left="0.23622047244094491" right="0.27559055118110237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2006-71F4-4A40-94FD-4F74A00D2658}">
  <sheetPr codeName="Sheet4"/>
  <dimension ref="A1:AC292"/>
  <sheetViews>
    <sheetView rightToLeft="1" topLeftCell="A34" workbookViewId="0">
      <selection activeCell="AC3" sqref="AC3"/>
    </sheetView>
  </sheetViews>
  <sheetFormatPr defaultColWidth="8.7890625" defaultRowHeight="14.25" x14ac:dyDescent="0.65"/>
  <cols>
    <col min="1" max="1" width="11" style="96" customWidth="1"/>
    <col min="2" max="2" width="9.08203125" style="96" customWidth="1"/>
    <col min="3" max="3" width="30.7890625" style="79" customWidth="1"/>
    <col min="4" max="4" width="10.4140625" style="96" customWidth="1"/>
    <col min="5" max="5" width="10.2890625" style="157" customWidth="1"/>
    <col min="6" max="6" width="13.4140625" style="79" customWidth="1"/>
    <col min="7" max="7" width="10.2890625" style="96" customWidth="1"/>
    <col min="8" max="8" width="10.2890625" style="157" customWidth="1"/>
    <col min="9" max="9" width="11.70703125" style="79" customWidth="1"/>
    <col min="10" max="10" width="10.2890625" style="96" customWidth="1"/>
    <col min="11" max="11" width="10.2890625" style="157" customWidth="1"/>
    <col min="12" max="12" width="11.70703125" style="79" customWidth="1"/>
    <col min="13" max="13" width="10.2890625" style="96" customWidth="1"/>
    <col min="14" max="14" width="10.2890625" style="157" customWidth="1"/>
    <col min="15" max="15" width="11.70703125" style="79" customWidth="1"/>
    <col min="16" max="16" width="10.2890625" style="96" customWidth="1"/>
    <col min="17" max="17" width="8.2890625" style="96" customWidth="1"/>
    <col min="18" max="18" width="12.08203125" style="157" customWidth="1"/>
    <col min="19" max="19" width="11.70703125" style="96" customWidth="1"/>
    <col min="20" max="20" width="10.2890625" style="79" customWidth="1"/>
    <col min="21" max="21" width="8.7890625" style="79"/>
    <col min="22" max="22" width="10.70703125" style="71" customWidth="1"/>
    <col min="23" max="23" width="8.7890625" style="71"/>
    <col min="24" max="24" width="9.4140625" style="71" customWidth="1"/>
    <col min="25" max="25" width="5.7890625" style="71" customWidth="1"/>
    <col min="26" max="26" width="6.9140625" style="71" customWidth="1"/>
    <col min="27" max="27" width="10.20703125" style="71" customWidth="1"/>
    <col min="28" max="28" width="12" style="71" customWidth="1"/>
    <col min="29" max="29" width="9.70703125" style="71" customWidth="1"/>
    <col min="30" max="16384" width="8.7890625" style="71"/>
  </cols>
  <sheetData>
    <row r="1" spans="1:29" ht="21.65" customHeight="1" thickBot="1" x14ac:dyDescent="0.8">
      <c r="D1" s="272" t="s">
        <v>19</v>
      </c>
      <c r="E1" s="273"/>
      <c r="F1" s="273"/>
      <c r="G1" s="273"/>
      <c r="H1" s="273"/>
      <c r="I1" s="273"/>
      <c r="J1" s="273"/>
      <c r="K1" s="273"/>
      <c r="L1" s="274"/>
      <c r="M1" s="272" t="s">
        <v>20</v>
      </c>
      <c r="N1" s="273"/>
      <c r="O1" s="274"/>
      <c r="P1" s="272" t="s">
        <v>143</v>
      </c>
      <c r="Q1" s="273"/>
      <c r="R1" s="274"/>
      <c r="S1" s="272" t="s">
        <v>21</v>
      </c>
      <c r="T1" s="273"/>
      <c r="U1" s="274"/>
    </row>
    <row r="2" spans="1:29" s="106" customFormat="1" ht="42.75" x14ac:dyDescent="0.65">
      <c r="A2" s="140" t="s">
        <v>55</v>
      </c>
      <c r="B2" s="140" t="s">
        <v>0</v>
      </c>
      <c r="C2" s="141" t="s">
        <v>1</v>
      </c>
      <c r="D2" s="140" t="s">
        <v>8</v>
      </c>
      <c r="E2" s="142" t="s">
        <v>6</v>
      </c>
      <c r="F2" s="143" t="s">
        <v>7</v>
      </c>
      <c r="G2" s="140" t="s">
        <v>11</v>
      </c>
      <c r="H2" s="142" t="s">
        <v>9</v>
      </c>
      <c r="I2" s="143" t="s">
        <v>10</v>
      </c>
      <c r="J2" s="140" t="s">
        <v>14</v>
      </c>
      <c r="K2" s="142" t="s">
        <v>12</v>
      </c>
      <c r="L2" s="143" t="s">
        <v>13</v>
      </c>
      <c r="M2" s="140" t="s">
        <v>140</v>
      </c>
      <c r="N2" s="140" t="s">
        <v>141</v>
      </c>
      <c r="O2" s="140" t="s">
        <v>144</v>
      </c>
      <c r="P2" s="140" t="s">
        <v>139</v>
      </c>
      <c r="Q2" s="142" t="s">
        <v>142</v>
      </c>
      <c r="R2" s="143" t="s">
        <v>146</v>
      </c>
      <c r="S2" s="140" t="s">
        <v>15</v>
      </c>
      <c r="T2" s="140" t="s">
        <v>16</v>
      </c>
      <c r="U2" s="144" t="s">
        <v>17</v>
      </c>
      <c r="V2" s="140" t="s">
        <v>18</v>
      </c>
      <c r="W2" s="145"/>
      <c r="X2" s="71"/>
      <c r="Y2" s="79" t="s">
        <v>106</v>
      </c>
      <c r="Z2" s="79" t="s">
        <v>56</v>
      </c>
      <c r="AA2" s="79" t="s">
        <v>96</v>
      </c>
      <c r="AB2" s="145"/>
      <c r="AC2" s="140" t="s">
        <v>193</v>
      </c>
    </row>
    <row r="3" spans="1:29" x14ac:dyDescent="0.65">
      <c r="A3" s="137">
        <v>1</v>
      </c>
      <c r="B3" s="96">
        <f>IFERROR(_xlfn.XLOOKUP(TimeTable[[#This Row],[מס"ד]],TeamList[מס"ד],TeamList[מס'' הקבוצה]),"")</f>
        <v>3163</v>
      </c>
      <c r="C3" s="146" t="str">
        <f>IFERROR(_xlfn.XLOOKUP(TimeTable[[#This Row],[מס"ד]],TeamList[מס"ד],TeamList[שם הקבוצה]),"")</f>
        <v>מקיף</v>
      </c>
      <c r="D3" s="96">
        <v>15</v>
      </c>
      <c r="E3" s="147">
        <v>0.44791666666666635</v>
      </c>
      <c r="F3" s="148" t="s">
        <v>117</v>
      </c>
      <c r="G3" s="96">
        <v>25</v>
      </c>
      <c r="H3" s="147">
        <v>0.5138888888888884</v>
      </c>
      <c r="I3" s="148" t="s">
        <v>118</v>
      </c>
      <c r="J3" s="96">
        <v>37</v>
      </c>
      <c r="K3" s="147">
        <v>0.59027777777777701</v>
      </c>
      <c r="L3" s="148" t="s">
        <v>116</v>
      </c>
      <c r="M3" s="96">
        <v>9</v>
      </c>
      <c r="N3" s="147">
        <v>0.39791666666666659</v>
      </c>
      <c r="O3" s="148" t="s">
        <v>115</v>
      </c>
      <c r="P3" s="160">
        <v>49</v>
      </c>
      <c r="Q3" s="147">
        <v>0.66666666666666563</v>
      </c>
      <c r="R3" s="177" t="s">
        <v>115</v>
      </c>
      <c r="S3" s="96">
        <v>1</v>
      </c>
      <c r="T3" s="96" t="s">
        <v>115</v>
      </c>
      <c r="U3" s="147">
        <v>0.36458333333333331</v>
      </c>
      <c r="V3" s="149">
        <v>1.4583333333333282E-2</v>
      </c>
      <c r="W3" s="150"/>
      <c r="Y3" s="71">
        <v>1</v>
      </c>
      <c r="Z3" s="71">
        <v>1</v>
      </c>
      <c r="AA3" s="71" t="str" cm="1">
        <f t="array" ref="AA3">Table_names[[#This Row],[מסד]]&amp;" "&amp;color</f>
        <v>1 אדום</v>
      </c>
      <c r="AC3" s="71" t="s">
        <v>194</v>
      </c>
    </row>
    <row r="4" spans="1:29" x14ac:dyDescent="0.65">
      <c r="A4" s="137">
        <v>2</v>
      </c>
      <c r="B4" s="96">
        <f>IFERROR(_xlfn.XLOOKUP(TimeTable[[#This Row],[מס"ד]],TeamList[מס"ד],TeamList[מס'' הקבוצה]),"")</f>
        <v>3180</v>
      </c>
      <c r="C4" s="146" t="str">
        <f>IFERROR(_xlfn.XLOOKUP(TimeTable[[#This Row],[מס"ד]],TeamList[מס"ד],TeamList[שם הקבוצה]),"")</f>
        <v>פלך בנים</v>
      </c>
      <c r="D4" s="96">
        <v>16</v>
      </c>
      <c r="E4" s="147">
        <v>0.45138888888888856</v>
      </c>
      <c r="F4" s="148" t="s">
        <v>121</v>
      </c>
      <c r="G4" s="96">
        <v>26</v>
      </c>
      <c r="H4" s="147">
        <v>0.51736111111111061</v>
      </c>
      <c r="I4" s="148" t="s">
        <v>122</v>
      </c>
      <c r="J4" s="96">
        <v>37</v>
      </c>
      <c r="K4" s="147">
        <v>0.59027777777777701</v>
      </c>
      <c r="L4" s="148" t="s">
        <v>115</v>
      </c>
      <c r="M4" s="96">
        <v>10</v>
      </c>
      <c r="N4" s="147">
        <v>0.40208333333333324</v>
      </c>
      <c r="O4" s="148" t="s">
        <v>119</v>
      </c>
      <c r="P4" s="160">
        <v>50</v>
      </c>
      <c r="Q4" s="147">
        <v>0.67013888888888784</v>
      </c>
      <c r="R4" s="177" t="s">
        <v>119</v>
      </c>
      <c r="S4" s="96">
        <v>1</v>
      </c>
      <c r="T4" s="96" t="s">
        <v>116</v>
      </c>
      <c r="U4" s="147">
        <v>0.36458333333333331</v>
      </c>
      <c r="V4" s="149">
        <v>1.8749999999999933E-2</v>
      </c>
      <c r="Y4" s="71">
        <v>2</v>
      </c>
      <c r="Z4" s="71">
        <v>2</v>
      </c>
      <c r="AA4" s="71" t="str" cm="1">
        <f t="array" ref="AA4">Table_names[[#This Row],[מסד]]&amp;" "&amp;color</f>
        <v>2 אדום</v>
      </c>
    </row>
    <row r="5" spans="1:29" x14ac:dyDescent="0.65">
      <c r="A5" s="137">
        <v>3</v>
      </c>
      <c r="B5" s="96">
        <f>IFERROR(_xlfn.XLOOKUP(TimeTable[[#This Row],[מס"ד]],TeamList[מס"ד],TeamList[מס'' הקבוצה]),"")</f>
        <v>1042</v>
      </c>
      <c r="C5" s="146" t="str">
        <f>IFERROR(_xlfn.XLOOKUP(TimeTable[[#This Row],[מס"ד]],TeamList[מס"ד],TeamList[שם הקבוצה]),"")</f>
        <v>כרמים</v>
      </c>
      <c r="D5" s="96">
        <v>15</v>
      </c>
      <c r="E5" s="147">
        <v>0.44791666666666635</v>
      </c>
      <c r="F5" s="148" t="s">
        <v>118</v>
      </c>
      <c r="G5" s="96">
        <v>27</v>
      </c>
      <c r="H5" s="147">
        <v>0.52083333333333282</v>
      </c>
      <c r="I5" s="148" t="s">
        <v>118</v>
      </c>
      <c r="J5" s="96">
        <v>37</v>
      </c>
      <c r="K5" s="147">
        <v>0.59027777777777701</v>
      </c>
      <c r="L5" s="148" t="s">
        <v>118</v>
      </c>
      <c r="M5" s="96">
        <v>11</v>
      </c>
      <c r="N5" s="147">
        <v>0.40624999999999994</v>
      </c>
      <c r="O5" s="148" t="s">
        <v>115</v>
      </c>
      <c r="P5" s="160">
        <v>51</v>
      </c>
      <c r="Q5" s="147">
        <v>0.67708333333333226</v>
      </c>
      <c r="R5" s="177" t="s">
        <v>115</v>
      </c>
      <c r="S5" s="96">
        <v>1</v>
      </c>
      <c r="T5" s="96" t="s">
        <v>117</v>
      </c>
      <c r="U5" s="147">
        <v>0.36458333333333331</v>
      </c>
      <c r="V5" s="149">
        <v>2.2916666666666641E-2</v>
      </c>
      <c r="Y5" s="71">
        <v>3</v>
      </c>
      <c r="Z5" s="71">
        <v>3</v>
      </c>
      <c r="AA5" s="71" t="str" cm="1">
        <f t="array" ref="AA5">Table_names[[#This Row],[מסד]]&amp;" "&amp;color</f>
        <v>3 אדום</v>
      </c>
    </row>
    <row r="6" spans="1:29" x14ac:dyDescent="0.65">
      <c r="A6" s="137">
        <v>4</v>
      </c>
      <c r="B6" s="96">
        <f>IFERROR(_xlfn.XLOOKUP(TimeTable[[#This Row],[מס"ד]],TeamList[מס"ד],TeamList[מס'' הקבוצה]),"")</f>
        <v>1825</v>
      </c>
      <c r="C6" s="146" t="str">
        <f>IFERROR(_xlfn.XLOOKUP(TimeTable[[#This Row],[מס"ד]],TeamList[מס"ד],TeamList[שם הקבוצה]),"")</f>
        <v>אילן רמון</v>
      </c>
      <c r="D6" s="96">
        <v>16</v>
      </c>
      <c r="E6" s="147">
        <v>0.45138888888888856</v>
      </c>
      <c r="F6" s="148" t="s">
        <v>122</v>
      </c>
      <c r="G6" s="96">
        <v>25</v>
      </c>
      <c r="H6" s="147">
        <v>0.5138888888888884</v>
      </c>
      <c r="I6" s="148" t="s">
        <v>117</v>
      </c>
      <c r="J6" s="96">
        <v>37</v>
      </c>
      <c r="K6" s="147">
        <v>0.59027777777777701</v>
      </c>
      <c r="L6" s="148" t="s">
        <v>117</v>
      </c>
      <c r="M6" s="96">
        <v>12</v>
      </c>
      <c r="N6" s="147">
        <v>0.4104166666666666</v>
      </c>
      <c r="O6" s="148" t="s">
        <v>119</v>
      </c>
      <c r="P6" s="160">
        <v>52</v>
      </c>
      <c r="Q6" s="147">
        <v>0.68055555555555447</v>
      </c>
      <c r="R6" s="177" t="s">
        <v>119</v>
      </c>
      <c r="S6" s="96">
        <v>1</v>
      </c>
      <c r="T6" s="96" t="s">
        <v>118</v>
      </c>
      <c r="U6" s="147">
        <v>0.36458333333333331</v>
      </c>
      <c r="V6" s="149">
        <v>2.7083333333333293E-2</v>
      </c>
      <c r="Y6" s="71">
        <v>4</v>
      </c>
      <c r="Z6" s="71">
        <v>4</v>
      </c>
      <c r="AA6" s="71" t="str" cm="1">
        <f t="array" ref="AA6">Table_names[[#This Row],[מסד]]&amp;" "&amp;color</f>
        <v>4 אדום</v>
      </c>
    </row>
    <row r="7" spans="1:29" x14ac:dyDescent="0.65">
      <c r="A7" s="137">
        <v>5</v>
      </c>
      <c r="B7" s="96">
        <f>IFERROR(_xlfn.XLOOKUP(TimeTable[[#This Row],[מס"ד]],TeamList[מס"ד],TeamList[מס'' הקבוצה]),"")</f>
        <v>3243</v>
      </c>
      <c r="C7" s="146" t="str">
        <f>IFERROR(_xlfn.XLOOKUP(TimeTable[[#This Row],[מס"ד]],TeamList[מס"ד],TeamList[שם הקבוצה]),"")</f>
        <v>לאה גולדברג</v>
      </c>
      <c r="D7" s="96">
        <v>15</v>
      </c>
      <c r="E7" s="147">
        <v>0.44791666666666635</v>
      </c>
      <c r="F7" s="148" t="s">
        <v>115</v>
      </c>
      <c r="G7" s="96">
        <v>26</v>
      </c>
      <c r="H7" s="147">
        <v>0.51736111111111061</v>
      </c>
      <c r="I7" s="148" t="s">
        <v>121</v>
      </c>
      <c r="J7" s="96">
        <v>38</v>
      </c>
      <c r="K7" s="147">
        <v>0.59374999999999922</v>
      </c>
      <c r="L7" s="148" t="s">
        <v>120</v>
      </c>
      <c r="M7" s="96">
        <v>9</v>
      </c>
      <c r="N7" s="147">
        <v>0.39791666666666659</v>
      </c>
      <c r="O7" s="148" t="s">
        <v>116</v>
      </c>
      <c r="P7" s="160">
        <v>53</v>
      </c>
      <c r="Q7" s="147">
        <v>0.68749999999999889</v>
      </c>
      <c r="R7" s="177" t="s">
        <v>115</v>
      </c>
      <c r="S7" s="96">
        <v>1</v>
      </c>
      <c r="T7" s="96" t="s">
        <v>119</v>
      </c>
      <c r="U7" s="147">
        <v>0.36458333333333331</v>
      </c>
      <c r="V7" s="149">
        <v>1.4583333333333282E-2</v>
      </c>
      <c r="Y7" s="151">
        <v>5</v>
      </c>
      <c r="Z7" s="152">
        <v>5</v>
      </c>
      <c r="AA7" s="71" t="str" cm="1">
        <f t="array" ref="AA7">Table_names[[#This Row],[מסד]]&amp;" "&amp;color</f>
        <v>5 אדום</v>
      </c>
    </row>
    <row r="8" spans="1:29" x14ac:dyDescent="0.65">
      <c r="A8" s="137">
        <v>6</v>
      </c>
      <c r="B8" s="96">
        <f>IFERROR(_xlfn.XLOOKUP(TimeTable[[#This Row],[מס"ד]],TeamList[מס"ד],TeamList[מס'' הקבוצה]),"")</f>
        <v>2954</v>
      </c>
      <c r="C8" s="146" t="str">
        <f>IFERROR(_xlfn.XLOOKUP(TimeTable[[#This Row],[מס"ד]],TeamList[מס"ד],TeamList[שם הקבוצה]),"")</f>
        <v xml:space="preserve">עתידים </v>
      </c>
      <c r="D8" s="96">
        <v>17</v>
      </c>
      <c r="E8" s="147">
        <v>0.45486111111111077</v>
      </c>
      <c r="F8" s="148" t="s">
        <v>117</v>
      </c>
      <c r="G8" s="96">
        <v>27</v>
      </c>
      <c r="H8" s="147">
        <v>0.52083333333333282</v>
      </c>
      <c r="I8" s="153" t="s">
        <v>117</v>
      </c>
      <c r="J8" s="96">
        <v>38</v>
      </c>
      <c r="K8" s="147">
        <v>0.59374999999999922</v>
      </c>
      <c r="L8" s="153" t="s">
        <v>119</v>
      </c>
      <c r="M8" s="96">
        <v>10</v>
      </c>
      <c r="N8" s="147">
        <v>0.40208333333333324</v>
      </c>
      <c r="O8" s="153" t="s">
        <v>120</v>
      </c>
      <c r="P8" s="160">
        <v>54</v>
      </c>
      <c r="Q8" s="147">
        <v>0.6909722222222211</v>
      </c>
      <c r="R8" s="177" t="s">
        <v>119</v>
      </c>
      <c r="S8" s="154">
        <v>1</v>
      </c>
      <c r="T8" s="154" t="s">
        <v>120</v>
      </c>
      <c r="U8" s="147">
        <v>0.36458333333333331</v>
      </c>
      <c r="V8" s="149">
        <v>1.8749999999999933E-2</v>
      </c>
      <c r="Y8" s="71">
        <v>6</v>
      </c>
      <c r="Z8" s="155">
        <v>6</v>
      </c>
      <c r="AA8" s="71" t="str" cm="1">
        <f t="array" ref="AA8">Table_names[[#This Row],[מסד]]&amp;" "&amp;color</f>
        <v>6 אדום</v>
      </c>
    </row>
    <row r="9" spans="1:29" x14ac:dyDescent="0.65">
      <c r="A9" s="137">
        <v>7</v>
      </c>
      <c r="B9" s="96">
        <f>IFERROR(_xlfn.XLOOKUP(TimeTable[[#This Row],[מס"ד]],TeamList[מס"ד],TeamList[מס'' הקבוצה]),"")</f>
        <v>2623</v>
      </c>
      <c r="C9" s="146" t="str">
        <f>IFERROR(_xlfn.XLOOKUP(TimeTable[[#This Row],[מס"ד]],TeamList[מס"ד],TeamList[שם הקבוצה]),"")</f>
        <v>גינסבורג</v>
      </c>
      <c r="D9" s="96">
        <v>18</v>
      </c>
      <c r="E9" s="147">
        <v>0.45833333333333298</v>
      </c>
      <c r="F9" s="148" t="s">
        <v>121</v>
      </c>
      <c r="G9" s="96">
        <v>25</v>
      </c>
      <c r="H9" s="147">
        <v>0.5138888888888884</v>
      </c>
      <c r="I9" s="148" t="s">
        <v>116</v>
      </c>
      <c r="J9" s="96">
        <v>38</v>
      </c>
      <c r="K9" s="147">
        <v>0.59374999999999922</v>
      </c>
      <c r="L9" s="148" t="s">
        <v>122</v>
      </c>
      <c r="M9" s="96">
        <v>11</v>
      </c>
      <c r="N9" s="147">
        <v>0.40624999999999994</v>
      </c>
      <c r="O9" s="148" t="s">
        <v>116</v>
      </c>
      <c r="P9" s="160">
        <v>49</v>
      </c>
      <c r="Q9" s="147">
        <v>0.66666666666666563</v>
      </c>
      <c r="R9" s="177" t="s">
        <v>161</v>
      </c>
      <c r="S9" s="96">
        <v>1</v>
      </c>
      <c r="T9" s="96" t="s">
        <v>121</v>
      </c>
      <c r="U9" s="147">
        <v>0.36458333333333331</v>
      </c>
      <c r="V9" s="149">
        <v>2.2916666666666641E-2</v>
      </c>
      <c r="Y9" s="71">
        <v>7</v>
      </c>
      <c r="Z9" s="71">
        <v>7</v>
      </c>
      <c r="AA9" s="71" t="str" cm="1">
        <f t="array" ref="AA9">Table_names[[#This Row],[מסד]]&amp;" "&amp;color</f>
        <v>7 אדום</v>
      </c>
    </row>
    <row r="10" spans="1:29" x14ac:dyDescent="0.65">
      <c r="A10" s="137">
        <v>8</v>
      </c>
      <c r="B10" s="96">
        <f>IFERROR(_xlfn.XLOOKUP(TimeTable[[#This Row],[מס"ד]],TeamList[מס"ד],TeamList[מס'' הקבוצה]),"")</f>
        <v>2978</v>
      </c>
      <c r="C10" s="146" t="str">
        <f>IFERROR(_xlfn.XLOOKUP(TimeTable[[#This Row],[מס"ד]],TeamList[מס"ד],TeamList[שם הקבוצה]),"")</f>
        <v xml:space="preserve">אל-קסטל </v>
      </c>
      <c r="D10" s="96">
        <v>17</v>
      </c>
      <c r="E10" s="147">
        <v>0.45486111111111077</v>
      </c>
      <c r="F10" s="148" t="s">
        <v>118</v>
      </c>
      <c r="G10" s="96">
        <v>26</v>
      </c>
      <c r="H10" s="147">
        <v>0.51736111111111061</v>
      </c>
      <c r="I10" s="148" t="s">
        <v>120</v>
      </c>
      <c r="J10" s="96">
        <v>38</v>
      </c>
      <c r="K10" s="147">
        <v>0.59374999999999922</v>
      </c>
      <c r="L10" s="148" t="s">
        <v>121</v>
      </c>
      <c r="M10" s="96">
        <v>1</v>
      </c>
      <c r="N10" s="147">
        <v>0.36458333333333331</v>
      </c>
      <c r="O10" s="148" t="s">
        <v>115</v>
      </c>
      <c r="P10" s="160">
        <v>50</v>
      </c>
      <c r="Q10" s="147">
        <v>0.67013888888888784</v>
      </c>
      <c r="R10" s="177" t="s">
        <v>170</v>
      </c>
      <c r="S10" s="96">
        <v>2</v>
      </c>
      <c r="T10" s="96" t="s">
        <v>115</v>
      </c>
      <c r="U10" s="147">
        <v>0.39583333333333331</v>
      </c>
      <c r="V10" s="149">
        <v>2.9166666666666674E-2</v>
      </c>
      <c r="Y10" s="71">
        <v>8</v>
      </c>
      <c r="Z10" s="71">
        <v>8</v>
      </c>
      <c r="AA10" s="71" t="str" cm="1">
        <f t="array" ref="AA10">Table_names[[#This Row],[מסד]]&amp;" "&amp;color</f>
        <v>8 אדום</v>
      </c>
    </row>
    <row r="11" spans="1:29" x14ac:dyDescent="0.65">
      <c r="A11" s="137">
        <v>9</v>
      </c>
      <c r="B11" s="96">
        <f>IFERROR(_xlfn.XLOOKUP(TimeTable[[#This Row],[מס"ד]],TeamList[מס"ד],TeamList[מס'' הקבוצה]),"")</f>
        <v>588</v>
      </c>
      <c r="C11" s="146" t="str">
        <f>IFERROR(_xlfn.XLOOKUP(TimeTable[[#This Row],[מס"ד]],TeamList[מס"ד],TeamList[שם הקבוצה]),"")</f>
        <v xml:space="preserve">אבן סינא </v>
      </c>
      <c r="D11" s="96">
        <v>18</v>
      </c>
      <c r="E11" s="147">
        <v>0.45833333333333298</v>
      </c>
      <c r="F11" s="148" t="s">
        <v>122</v>
      </c>
      <c r="G11" s="96">
        <v>27</v>
      </c>
      <c r="H11" s="147">
        <v>0.52083333333333282</v>
      </c>
      <c r="I11" s="148" t="s">
        <v>116</v>
      </c>
      <c r="J11" s="96">
        <v>39</v>
      </c>
      <c r="K11" s="147">
        <v>0.59722222222222143</v>
      </c>
      <c r="L11" s="148" t="s">
        <v>116</v>
      </c>
      <c r="M11" s="96">
        <v>2</v>
      </c>
      <c r="N11" s="147">
        <v>0.36874999999999997</v>
      </c>
      <c r="O11" s="148" t="s">
        <v>119</v>
      </c>
      <c r="P11" s="160">
        <v>51</v>
      </c>
      <c r="Q11" s="147">
        <v>0.67708333333333226</v>
      </c>
      <c r="R11" s="177" t="s">
        <v>161</v>
      </c>
      <c r="S11" s="96">
        <v>2</v>
      </c>
      <c r="T11" s="96" t="s">
        <v>116</v>
      </c>
      <c r="U11" s="147">
        <v>0.39583333333333331</v>
      </c>
      <c r="V11" s="149">
        <v>2.5000000000000022E-2</v>
      </c>
    </row>
    <row r="12" spans="1:29" x14ac:dyDescent="0.65">
      <c r="A12" s="137">
        <v>10</v>
      </c>
      <c r="B12" s="96">
        <f>IFERROR(_xlfn.XLOOKUP(TimeTable[[#This Row],[מס"ד]],TeamList[מס"ד],TeamList[מס'' הקבוצה]),"")</f>
        <v>1371</v>
      </c>
      <c r="C12" s="146" t="str">
        <f>IFERROR(_xlfn.XLOOKUP(TimeTable[[#This Row],[מס"ד]],TeamList[מס"ד],TeamList[שם הקבוצה]),"")</f>
        <v>אלזהראוי</v>
      </c>
      <c r="D12" s="96">
        <v>17</v>
      </c>
      <c r="E12" s="147">
        <v>0.45486111111111077</v>
      </c>
      <c r="F12" s="148" t="s">
        <v>115</v>
      </c>
      <c r="G12" s="96">
        <v>25</v>
      </c>
      <c r="H12" s="147">
        <v>0.5138888888888884</v>
      </c>
      <c r="I12" s="148" t="s">
        <v>115</v>
      </c>
      <c r="J12" s="96">
        <v>39</v>
      </c>
      <c r="K12" s="147">
        <v>0.59722222222222143</v>
      </c>
      <c r="L12" s="148" t="s">
        <v>115</v>
      </c>
      <c r="M12" s="96">
        <v>3</v>
      </c>
      <c r="N12" s="147">
        <v>0.37291666666666662</v>
      </c>
      <c r="O12" s="148" t="s">
        <v>115</v>
      </c>
      <c r="P12" s="160">
        <v>52</v>
      </c>
      <c r="Q12" s="147">
        <v>0.68055555555555447</v>
      </c>
      <c r="R12" s="177" t="s">
        <v>170</v>
      </c>
      <c r="S12" s="96">
        <v>2</v>
      </c>
      <c r="T12" s="96" t="s">
        <v>117</v>
      </c>
      <c r="U12" s="147">
        <v>0.39583333333333331</v>
      </c>
      <c r="V12" s="149">
        <v>2.083333333333337E-2</v>
      </c>
    </row>
    <row r="13" spans="1:29" x14ac:dyDescent="0.65">
      <c r="A13" s="137">
        <v>11</v>
      </c>
      <c r="B13" s="96">
        <f>IFERROR(_xlfn.XLOOKUP(TimeTable[[#This Row],[מס"ד]],TeamList[מס"ד],TeamList[מס'' הקבוצה]),"")</f>
        <v>3139</v>
      </c>
      <c r="C13" s="146" t="str">
        <f>IFERROR(_xlfn.XLOOKUP(TimeTable[[#This Row],[מס"ד]],TeamList[מס"ד],TeamList[שם הקבוצה]),"")</f>
        <v>ידלין</v>
      </c>
      <c r="D13" s="96">
        <v>18</v>
      </c>
      <c r="E13" s="147">
        <v>0.45833333333333298</v>
      </c>
      <c r="F13" s="148" t="s">
        <v>119</v>
      </c>
      <c r="G13" s="96">
        <v>26</v>
      </c>
      <c r="H13" s="147">
        <v>0.51736111111111061</v>
      </c>
      <c r="I13" s="148" t="s">
        <v>119</v>
      </c>
      <c r="J13" s="96">
        <v>39</v>
      </c>
      <c r="K13" s="147">
        <v>0.59722222222222143</v>
      </c>
      <c r="L13" s="148" t="s">
        <v>118</v>
      </c>
      <c r="M13" s="96">
        <v>4</v>
      </c>
      <c r="N13" s="147">
        <v>0.37708333333333327</v>
      </c>
      <c r="O13" s="148" t="s">
        <v>119</v>
      </c>
      <c r="P13" s="160">
        <v>53</v>
      </c>
      <c r="Q13" s="147">
        <v>0.68749999999999889</v>
      </c>
      <c r="R13" s="177" t="s">
        <v>161</v>
      </c>
      <c r="S13" s="96">
        <v>2</v>
      </c>
      <c r="T13" s="96" t="s">
        <v>118</v>
      </c>
      <c r="U13" s="147">
        <v>0.39583333333333331</v>
      </c>
      <c r="V13" s="149">
        <v>1.6666666666666718E-2</v>
      </c>
    </row>
    <row r="14" spans="1:29" ht="14.5" x14ac:dyDescent="0.7">
      <c r="A14" s="137">
        <v>12</v>
      </c>
      <c r="B14" s="96">
        <f>IFERROR(_xlfn.XLOOKUP(TimeTable[[#This Row],[מס"ד]],TeamList[מס"ד],TeamList[מס'' הקבוצה]),"")</f>
        <v>515</v>
      </c>
      <c r="C14" s="146" t="str">
        <f>IFERROR(_xlfn.XLOOKUP(TimeTable[[#This Row],[מס"ד]],TeamList[מס"ד],TeamList[שם הקבוצה]),"")</f>
        <v xml:space="preserve">אשכול פיס </v>
      </c>
      <c r="D14" s="96">
        <v>17</v>
      </c>
      <c r="E14" s="147">
        <v>0.45486111111111077</v>
      </c>
      <c r="F14" s="148" t="s">
        <v>116</v>
      </c>
      <c r="G14" s="96">
        <v>27</v>
      </c>
      <c r="H14" s="147">
        <v>0.52083333333333282</v>
      </c>
      <c r="I14" s="148" t="s">
        <v>115</v>
      </c>
      <c r="J14" s="96">
        <v>39</v>
      </c>
      <c r="K14" s="147">
        <v>0.59722222222222143</v>
      </c>
      <c r="L14" s="148" t="s">
        <v>117</v>
      </c>
      <c r="M14" s="96">
        <v>1</v>
      </c>
      <c r="N14" s="147">
        <v>0.36458333333333331</v>
      </c>
      <c r="O14" s="148" t="s">
        <v>116</v>
      </c>
      <c r="P14" s="160">
        <v>54</v>
      </c>
      <c r="Q14" s="147">
        <v>0.6909722222222211</v>
      </c>
      <c r="R14" s="177" t="s">
        <v>170</v>
      </c>
      <c r="S14" s="96">
        <v>2</v>
      </c>
      <c r="T14" s="96" t="s">
        <v>119</v>
      </c>
      <c r="U14" s="147">
        <v>0.39583333333333331</v>
      </c>
      <c r="V14" s="149">
        <v>2.9166666666666674E-2</v>
      </c>
      <c r="Y14" s="172" t="s">
        <v>106</v>
      </c>
      <c r="Z14" s="181" t="s">
        <v>56</v>
      </c>
      <c r="AA14" s="172" t="s">
        <v>96</v>
      </c>
    </row>
    <row r="15" spans="1:29" x14ac:dyDescent="0.65">
      <c r="A15" s="137">
        <v>13</v>
      </c>
      <c r="B15" s="96">
        <f>IFERROR(_xlfn.XLOOKUP(TimeTable[[#This Row],[מס"ד]],TeamList[מס"ד],TeamList[מס'' הקבוצה]),"")</f>
        <v>3185</v>
      </c>
      <c r="C15" s="146" t="str">
        <f>IFERROR(_xlfn.XLOOKUP(TimeTable[[#This Row],[מס"ד]],TeamList[מס"ד],TeamList[שם הקבוצה]),"")</f>
        <v>תיכון דרך</v>
      </c>
      <c r="D15" s="96">
        <v>18</v>
      </c>
      <c r="E15" s="147">
        <v>0.45833333333333298</v>
      </c>
      <c r="F15" s="148" t="s">
        <v>120</v>
      </c>
      <c r="G15" s="96">
        <v>28</v>
      </c>
      <c r="H15" s="147">
        <v>0.52430555555555503</v>
      </c>
      <c r="I15" s="148" t="s">
        <v>122</v>
      </c>
      <c r="J15" s="96">
        <v>40</v>
      </c>
      <c r="K15" s="147">
        <v>0.60069444444444364</v>
      </c>
      <c r="L15" s="148" t="s">
        <v>120</v>
      </c>
      <c r="M15" s="96">
        <v>2</v>
      </c>
      <c r="N15" s="147">
        <v>0.36874999999999997</v>
      </c>
      <c r="O15" s="148" t="s">
        <v>120</v>
      </c>
      <c r="P15" s="160">
        <v>49</v>
      </c>
      <c r="Q15" s="147">
        <v>0.66666666666666563</v>
      </c>
      <c r="R15" s="177" t="s">
        <v>116</v>
      </c>
      <c r="S15" s="96">
        <v>2</v>
      </c>
      <c r="T15" s="96" t="s">
        <v>120</v>
      </c>
      <c r="U15" s="147">
        <v>0.39583333333333331</v>
      </c>
      <c r="V15" s="149">
        <v>2.5000000000000022E-2</v>
      </c>
      <c r="Y15" s="178">
        <v>1</v>
      </c>
      <c r="Z15" s="182" t="s">
        <v>147</v>
      </c>
      <c r="AA15" s="178" t="s">
        <v>115</v>
      </c>
    </row>
    <row r="16" spans="1:29" x14ac:dyDescent="0.65">
      <c r="A16" s="137">
        <v>14</v>
      </c>
      <c r="B16" s="96">
        <f>IFERROR(_xlfn.XLOOKUP(TimeTable[[#This Row],[מס"ד]],TeamList[מס"ד],TeamList[מס'' הקבוצה]),"")</f>
        <v>3179</v>
      </c>
      <c r="C16" s="146" t="str">
        <f>IFERROR(_xlfn.XLOOKUP(TimeTable[[#This Row],[מס"ד]],TeamList[מס"ד],TeamList[שם הקבוצה]),"")</f>
        <v>נצח ישראל</v>
      </c>
      <c r="D16" s="96">
        <v>23</v>
      </c>
      <c r="E16" s="147">
        <v>0.47569444444444403</v>
      </c>
      <c r="F16" s="148" t="s">
        <v>117</v>
      </c>
      <c r="G16" s="96">
        <v>29</v>
      </c>
      <c r="H16" s="147">
        <v>0.52777777777777724</v>
      </c>
      <c r="I16" s="148" t="s">
        <v>118</v>
      </c>
      <c r="J16" s="96">
        <v>40</v>
      </c>
      <c r="K16" s="147">
        <v>0.60069444444444364</v>
      </c>
      <c r="L16" s="148" t="s">
        <v>119</v>
      </c>
      <c r="M16" s="96">
        <v>3</v>
      </c>
      <c r="N16" s="147">
        <v>0.37291666666666662</v>
      </c>
      <c r="O16" s="148" t="s">
        <v>116</v>
      </c>
      <c r="P16" s="160">
        <v>50</v>
      </c>
      <c r="Q16" s="147">
        <v>0.67013888888888784</v>
      </c>
      <c r="R16" s="177" t="s">
        <v>120</v>
      </c>
      <c r="S16" s="96">
        <v>2</v>
      </c>
      <c r="T16" s="96" t="s">
        <v>121</v>
      </c>
      <c r="U16" s="147">
        <v>0.39583333333333331</v>
      </c>
      <c r="V16" s="149">
        <v>2.083333333333337E-2</v>
      </c>
      <c r="Y16" s="179">
        <v>2</v>
      </c>
      <c r="Z16" s="183" t="s">
        <v>165</v>
      </c>
      <c r="AA16" s="179" t="s">
        <v>161</v>
      </c>
    </row>
    <row r="17" spans="1:27" x14ac:dyDescent="0.65">
      <c r="A17" s="137">
        <v>15</v>
      </c>
      <c r="B17" s="96">
        <f>IFERROR(_xlfn.XLOOKUP(TimeTable[[#This Row],[מס"ד]],TeamList[מס"ד],TeamList[מס'' הקבוצה]),"")</f>
        <v>3146</v>
      </c>
      <c r="C17" s="146" t="str">
        <f>IFERROR(_xlfn.XLOOKUP(TimeTable[[#This Row],[מס"ד]],TeamList[מס"ד],TeamList[שם הקבוצה]),"")</f>
        <v>אלבוכארי</v>
      </c>
      <c r="D17" s="96">
        <v>24</v>
      </c>
      <c r="E17" s="147">
        <v>0.47916666666666624</v>
      </c>
      <c r="F17" s="148" t="s">
        <v>121</v>
      </c>
      <c r="G17" s="96">
        <v>30</v>
      </c>
      <c r="H17" s="147">
        <v>0.53124999999999944</v>
      </c>
      <c r="I17" s="148" t="s">
        <v>122</v>
      </c>
      <c r="J17" s="96">
        <v>40</v>
      </c>
      <c r="K17" s="147">
        <v>0.60069444444444364</v>
      </c>
      <c r="L17" s="148" t="s">
        <v>122</v>
      </c>
      <c r="M17" s="96">
        <v>4</v>
      </c>
      <c r="N17" s="147">
        <v>0.37708333333333327</v>
      </c>
      <c r="O17" s="148" t="s">
        <v>120</v>
      </c>
      <c r="P17" s="160">
        <v>51</v>
      </c>
      <c r="Q17" s="147">
        <v>0.67708333333333226</v>
      </c>
      <c r="R17" s="177" t="s">
        <v>116</v>
      </c>
      <c r="S17" s="96">
        <v>3</v>
      </c>
      <c r="T17" s="96" t="s">
        <v>115</v>
      </c>
      <c r="U17" s="147">
        <v>0.4375</v>
      </c>
      <c r="V17" s="149">
        <v>2.2916666666666252E-2</v>
      </c>
      <c r="Y17" s="178">
        <v>3</v>
      </c>
      <c r="Z17" s="182" t="s">
        <v>148</v>
      </c>
      <c r="AA17" s="178" t="s">
        <v>116</v>
      </c>
    </row>
    <row r="18" spans="1:27" x14ac:dyDescent="0.65">
      <c r="A18" s="137">
        <v>16</v>
      </c>
      <c r="B18" s="96">
        <f>IFERROR(_xlfn.XLOOKUP(TimeTable[[#This Row],[מס"ד]],TeamList[מס"ד],TeamList[מס'' הקבוצה]),"")</f>
        <v>2977</v>
      </c>
      <c r="C18" s="146" t="str">
        <f>IFERROR(_xlfn.XLOOKUP(TimeTable[[#This Row],[מס"ד]],TeamList[מס"ד],TeamList[שם הקבוצה]),"")</f>
        <v xml:space="preserve">הנדסאים </v>
      </c>
      <c r="D18" s="96">
        <v>23</v>
      </c>
      <c r="E18" s="147">
        <v>0.47569444444444403</v>
      </c>
      <c r="F18" s="148" t="s">
        <v>118</v>
      </c>
      <c r="G18" s="96">
        <v>28</v>
      </c>
      <c r="H18" s="147">
        <v>0.52430555555555503</v>
      </c>
      <c r="I18" s="148" t="s">
        <v>121</v>
      </c>
      <c r="J18" s="96">
        <v>40</v>
      </c>
      <c r="K18" s="147">
        <v>0.60069444444444364</v>
      </c>
      <c r="L18" s="148" t="s">
        <v>121</v>
      </c>
      <c r="M18" s="96">
        <v>12</v>
      </c>
      <c r="N18" s="147">
        <v>0.4104166666666666</v>
      </c>
      <c r="O18" s="148" t="s">
        <v>120</v>
      </c>
      <c r="P18" s="160">
        <v>52</v>
      </c>
      <c r="Q18" s="147">
        <v>0.68055555555555447</v>
      </c>
      <c r="R18" s="177" t="s">
        <v>120</v>
      </c>
      <c r="S18" s="96">
        <v>3</v>
      </c>
      <c r="T18" s="96" t="s">
        <v>116</v>
      </c>
      <c r="U18" s="147">
        <v>0.4375</v>
      </c>
      <c r="V18" s="149">
        <v>1.9444444444444042E-2</v>
      </c>
      <c r="Y18" s="179">
        <v>4</v>
      </c>
      <c r="Z18" s="183" t="s">
        <v>166</v>
      </c>
      <c r="AA18" s="179" t="s">
        <v>162</v>
      </c>
    </row>
    <row r="19" spans="1:27" x14ac:dyDescent="0.65">
      <c r="A19" s="137">
        <v>17</v>
      </c>
      <c r="B19" s="96">
        <f>IFERROR(_xlfn.XLOOKUP(TimeTable[[#This Row],[מס"ד]],TeamList[מס"ד],TeamList[מס'' הקבוצה]),"")</f>
        <v>1083</v>
      </c>
      <c r="C19" s="146" t="str">
        <f>IFERROR(_xlfn.XLOOKUP(TimeTable[[#This Row],[מס"ד]],TeamList[מס"ד],TeamList[שם הקבוצה]),"")</f>
        <v>AGCTeam</v>
      </c>
      <c r="D19" s="96">
        <v>24</v>
      </c>
      <c r="E19" s="147">
        <v>0.47916666666666624</v>
      </c>
      <c r="F19" s="148" t="s">
        <v>122</v>
      </c>
      <c r="G19" s="96">
        <v>29</v>
      </c>
      <c r="H19" s="147">
        <v>0.52777777777777724</v>
      </c>
      <c r="I19" s="148" t="s">
        <v>117</v>
      </c>
      <c r="J19" s="96">
        <v>41</v>
      </c>
      <c r="K19" s="147">
        <v>0.60416666666666585</v>
      </c>
      <c r="L19" s="148" t="s">
        <v>116</v>
      </c>
      <c r="M19" s="96">
        <v>1</v>
      </c>
      <c r="N19" s="147">
        <v>0.36458333333333331</v>
      </c>
      <c r="O19" s="148" t="s">
        <v>117</v>
      </c>
      <c r="P19" s="160">
        <v>53</v>
      </c>
      <c r="Q19" s="147">
        <v>0.68749999999999889</v>
      </c>
      <c r="R19" s="177" t="s">
        <v>116</v>
      </c>
      <c r="S19" s="96">
        <v>3</v>
      </c>
      <c r="T19" s="96" t="s">
        <v>117</v>
      </c>
      <c r="U19" s="147">
        <v>0.4375</v>
      </c>
      <c r="V19" s="149">
        <v>2.2916666666666252E-2</v>
      </c>
      <c r="Y19" s="178">
        <v>5</v>
      </c>
      <c r="Z19" s="184" t="s">
        <v>149</v>
      </c>
      <c r="AA19" s="178" t="s">
        <v>117</v>
      </c>
    </row>
    <row r="20" spans="1:27" x14ac:dyDescent="0.65">
      <c r="A20" s="137">
        <v>18</v>
      </c>
      <c r="B20" s="96">
        <f>IFERROR(_xlfn.XLOOKUP(TimeTable[[#This Row],[מס"ד]],TeamList[מס"ד],TeamList[מס'' הקבוצה]),"")</f>
        <v>1043</v>
      </c>
      <c r="C20" s="146" t="str">
        <f>IFERROR(_xlfn.XLOOKUP(TimeTable[[#This Row],[מס"ד]],TeamList[מס"ד],TeamList[שם הקבוצה]),"")</f>
        <v>עתיד כרמים</v>
      </c>
      <c r="D20" s="96">
        <v>23</v>
      </c>
      <c r="E20" s="147">
        <v>0.47569444444444403</v>
      </c>
      <c r="F20" s="148" t="s">
        <v>115</v>
      </c>
      <c r="G20" s="96">
        <v>30</v>
      </c>
      <c r="H20" s="147">
        <v>0.53124999999999944</v>
      </c>
      <c r="I20" s="148" t="s">
        <v>121</v>
      </c>
      <c r="J20" s="96">
        <v>41</v>
      </c>
      <c r="K20" s="147">
        <v>0.60416666666666585</v>
      </c>
      <c r="L20" s="148" t="s">
        <v>115</v>
      </c>
      <c r="M20" s="96">
        <v>2</v>
      </c>
      <c r="N20" s="147">
        <v>0.36874999999999997</v>
      </c>
      <c r="O20" s="148" t="s">
        <v>121</v>
      </c>
      <c r="P20" s="160">
        <v>54</v>
      </c>
      <c r="Q20" s="147">
        <v>0.6909722222222211</v>
      </c>
      <c r="R20" s="177" t="s">
        <v>120</v>
      </c>
      <c r="S20" s="96">
        <v>3</v>
      </c>
      <c r="T20" s="96" t="s">
        <v>118</v>
      </c>
      <c r="U20" s="147">
        <v>0.4375</v>
      </c>
      <c r="V20" s="149">
        <v>1.9444444444444042E-2</v>
      </c>
      <c r="Y20" s="179">
        <v>6</v>
      </c>
      <c r="Z20" s="185" t="s">
        <v>167</v>
      </c>
      <c r="AA20" s="179" t="s">
        <v>164</v>
      </c>
    </row>
    <row r="21" spans="1:27" x14ac:dyDescent="0.65">
      <c r="A21" s="137">
        <v>19</v>
      </c>
      <c r="B21" s="96">
        <f>IFERROR(_xlfn.XLOOKUP(TimeTable[[#This Row],[מס"ד]],TeamList[מס"ד],TeamList[מס'' הקבוצה]),"")</f>
        <v>341</v>
      </c>
      <c r="C21" s="146" t="str">
        <f>IFERROR(_xlfn.XLOOKUP(TimeTable[[#This Row],[מס"ד]],TeamList[מס"ד],TeamList[שם הקבוצה]),"")</f>
        <v xml:space="preserve">עירוני ד </v>
      </c>
      <c r="D21" s="96">
        <v>24</v>
      </c>
      <c r="E21" s="147">
        <v>0.47916666666666624</v>
      </c>
      <c r="F21" s="148" t="s">
        <v>119</v>
      </c>
      <c r="G21" s="96">
        <v>28</v>
      </c>
      <c r="H21" s="147">
        <v>0.52430555555555503</v>
      </c>
      <c r="I21" s="148" t="s">
        <v>120</v>
      </c>
      <c r="J21" s="96">
        <v>41</v>
      </c>
      <c r="K21" s="147">
        <v>0.60416666666666585</v>
      </c>
      <c r="L21" s="148" t="s">
        <v>118</v>
      </c>
      <c r="M21" s="96">
        <v>3</v>
      </c>
      <c r="N21" s="147">
        <v>0.37291666666666662</v>
      </c>
      <c r="O21" s="148" t="s">
        <v>117</v>
      </c>
      <c r="P21" s="160">
        <v>49</v>
      </c>
      <c r="Q21" s="147">
        <v>0.66666666666666563</v>
      </c>
      <c r="R21" s="177" t="s">
        <v>162</v>
      </c>
      <c r="S21" s="96">
        <v>3</v>
      </c>
      <c r="T21" s="96" t="s">
        <v>119</v>
      </c>
      <c r="U21" s="147">
        <v>0.4375</v>
      </c>
      <c r="V21" s="149">
        <v>2.2916666666666252E-2</v>
      </c>
      <c r="Y21" s="178">
        <v>7</v>
      </c>
      <c r="Z21" s="182" t="s">
        <v>150</v>
      </c>
      <c r="AA21" s="178" t="s">
        <v>118</v>
      </c>
    </row>
    <row r="22" spans="1:27" x14ac:dyDescent="0.65">
      <c r="A22" s="137">
        <v>20</v>
      </c>
      <c r="B22" s="96">
        <f>IFERROR(_xlfn.XLOOKUP(TimeTable[[#This Row],[מס"ד]],TeamList[מס"ד],TeamList[מס'' הקבוצה]),"")</f>
        <v>2222</v>
      </c>
      <c r="C22" s="146" t="str">
        <f>IFERROR(_xlfn.XLOOKUP(TimeTable[[#This Row],[מס"ד]],TeamList[מס"ד],TeamList[שם הקבוצה]),"")</f>
        <v>אפרתה</v>
      </c>
      <c r="D22" s="96">
        <v>23</v>
      </c>
      <c r="E22" s="147">
        <v>0.47569444444444403</v>
      </c>
      <c r="F22" s="148" t="s">
        <v>116</v>
      </c>
      <c r="G22" s="96">
        <v>29</v>
      </c>
      <c r="H22" s="147">
        <v>0.52777777777777724</v>
      </c>
      <c r="I22" s="148" t="s">
        <v>116</v>
      </c>
      <c r="J22" s="96">
        <v>41</v>
      </c>
      <c r="K22" s="147">
        <v>0.60416666666666585</v>
      </c>
      <c r="L22" s="148" t="s">
        <v>117</v>
      </c>
      <c r="M22" s="96">
        <v>4</v>
      </c>
      <c r="N22" s="147">
        <v>0.37708333333333327</v>
      </c>
      <c r="O22" s="148" t="s">
        <v>121</v>
      </c>
      <c r="P22" s="160">
        <v>50</v>
      </c>
      <c r="Q22" s="147">
        <v>0.67013888888888784</v>
      </c>
      <c r="R22" s="177" t="s">
        <v>172</v>
      </c>
      <c r="S22" s="96">
        <v>3</v>
      </c>
      <c r="T22" s="96" t="s">
        <v>120</v>
      </c>
      <c r="U22" s="147">
        <v>0.4375</v>
      </c>
      <c r="V22" s="149">
        <v>1.9444444444444042E-2</v>
      </c>
      <c r="Y22" s="180">
        <v>8</v>
      </c>
      <c r="Z22" s="186" t="s">
        <v>168</v>
      </c>
      <c r="AA22" s="180" t="s">
        <v>163</v>
      </c>
    </row>
    <row r="23" spans="1:27" x14ac:dyDescent="0.65">
      <c r="A23" s="137">
        <v>21</v>
      </c>
      <c r="B23" s="96">
        <f>IFERROR(_xlfn.XLOOKUP(TimeTable[[#This Row],[מס"ד]],TeamList[מס"ד],TeamList[מס'' הקבוצה]),"")</f>
        <v>3181</v>
      </c>
      <c r="C23" s="146" t="str">
        <f>IFERROR(_xlfn.XLOOKUP(TimeTable[[#This Row],[מס"ד]],TeamList[מס"ד],TeamList[שם הקבוצה]),"")</f>
        <v>פלך בנים</v>
      </c>
      <c r="D23" s="96">
        <v>24</v>
      </c>
      <c r="E23" s="147">
        <v>0.47916666666666624</v>
      </c>
      <c r="F23" s="148" t="s">
        <v>120</v>
      </c>
      <c r="G23" s="96">
        <v>30</v>
      </c>
      <c r="H23" s="147">
        <v>0.53124999999999944</v>
      </c>
      <c r="I23" s="148" t="s">
        <v>120</v>
      </c>
      <c r="J23" s="96">
        <v>42</v>
      </c>
      <c r="K23" s="147">
        <v>0.60763888888888806</v>
      </c>
      <c r="L23" s="148" t="s">
        <v>120</v>
      </c>
      <c r="M23" s="96">
        <v>1</v>
      </c>
      <c r="N23" s="147">
        <v>0.36458333333333331</v>
      </c>
      <c r="O23" s="148" t="s">
        <v>118</v>
      </c>
      <c r="P23" s="160">
        <v>51</v>
      </c>
      <c r="Q23" s="147">
        <v>0.67708333333333226</v>
      </c>
      <c r="R23" s="177" t="s">
        <v>162</v>
      </c>
      <c r="S23" s="96">
        <v>3</v>
      </c>
      <c r="T23" s="96" t="s">
        <v>121</v>
      </c>
      <c r="U23" s="147">
        <v>0.4375</v>
      </c>
      <c r="V23" s="149">
        <v>2.2916666666666252E-2</v>
      </c>
      <c r="Y23" s="178">
        <v>9</v>
      </c>
      <c r="Z23" s="186" t="s">
        <v>151</v>
      </c>
      <c r="AA23" s="178" t="s">
        <v>119</v>
      </c>
    </row>
    <row r="24" spans="1:27" x14ac:dyDescent="0.65">
      <c r="A24" s="137">
        <v>22</v>
      </c>
      <c r="B24" s="96">
        <f>IFERROR(_xlfn.XLOOKUP(TimeTable[[#This Row],[מס"ד]],TeamList[מס"ד],TeamList[מס'' הקבוצה]),"")</f>
        <v>3022</v>
      </c>
      <c r="C24" s="146" t="str">
        <f>IFERROR(_xlfn.XLOOKUP(TimeTable[[#This Row],[מס"ד]],TeamList[מס"ד],TeamList[שם הקבוצה]),"")</f>
        <v xml:space="preserve">אברט </v>
      </c>
      <c r="D24" s="96">
        <v>16</v>
      </c>
      <c r="E24" s="147">
        <v>0.45138888888888856</v>
      </c>
      <c r="F24" s="148" t="s">
        <v>119</v>
      </c>
      <c r="G24" s="96">
        <v>28</v>
      </c>
      <c r="H24" s="147">
        <v>0.52430555555555503</v>
      </c>
      <c r="I24" s="148" t="s">
        <v>119</v>
      </c>
      <c r="J24" s="96">
        <v>42</v>
      </c>
      <c r="K24" s="147">
        <v>0.60763888888888806</v>
      </c>
      <c r="L24" s="148" t="s">
        <v>119</v>
      </c>
      <c r="M24" s="96">
        <v>2</v>
      </c>
      <c r="N24" s="147">
        <v>0.36874999999999997</v>
      </c>
      <c r="O24" s="148" t="s">
        <v>122</v>
      </c>
      <c r="P24" s="160">
        <v>52</v>
      </c>
      <c r="Q24" s="147">
        <v>0.68055555555555447</v>
      </c>
      <c r="R24" s="177" t="s">
        <v>172</v>
      </c>
      <c r="S24" s="96">
        <v>4</v>
      </c>
      <c r="T24" s="96" t="s">
        <v>115</v>
      </c>
      <c r="U24" s="147">
        <v>0.46875</v>
      </c>
      <c r="V24" s="149">
        <v>1.5277777777778112E-2</v>
      </c>
      <c r="Y24" s="180">
        <v>10</v>
      </c>
      <c r="Z24" s="186" t="s">
        <v>169</v>
      </c>
      <c r="AA24" s="179" t="s">
        <v>170</v>
      </c>
    </row>
    <row r="25" spans="1:27" x14ac:dyDescent="0.65">
      <c r="A25" s="137">
        <v>23</v>
      </c>
      <c r="B25" s="96">
        <f>IFERROR(_xlfn.XLOOKUP(TimeTable[[#This Row],[מס"ד]],TeamList[מס"ד],TeamList[מס'' הקבוצה]),"")</f>
        <v>1152</v>
      </c>
      <c r="C25" s="146" t="str">
        <f>IFERROR(_xlfn.XLOOKUP(TimeTable[[#This Row],[מס"ד]],TeamList[מס"ד],TeamList[שם הקבוצה]),"")</f>
        <v>אל זהראא ב</v>
      </c>
      <c r="D25" s="96">
        <v>13</v>
      </c>
      <c r="E25" s="147">
        <v>0.44097222222222193</v>
      </c>
      <c r="F25" s="148" t="s">
        <v>117</v>
      </c>
      <c r="G25" s="154">
        <v>29</v>
      </c>
      <c r="H25" s="147">
        <v>0.52777777777777724</v>
      </c>
      <c r="I25" s="153" t="s">
        <v>115</v>
      </c>
      <c r="J25" s="96">
        <v>42</v>
      </c>
      <c r="K25" s="147">
        <v>0.60763888888888806</v>
      </c>
      <c r="L25" s="148" t="s">
        <v>122</v>
      </c>
      <c r="M25" s="96">
        <v>3</v>
      </c>
      <c r="N25" s="147">
        <v>0.37291666666666662</v>
      </c>
      <c r="O25" s="148" t="s">
        <v>118</v>
      </c>
      <c r="P25" s="160">
        <v>53</v>
      </c>
      <c r="Q25" s="147">
        <v>0.68749999999999889</v>
      </c>
      <c r="R25" s="177" t="s">
        <v>162</v>
      </c>
      <c r="S25" s="96">
        <v>4</v>
      </c>
      <c r="T25" s="96" t="s">
        <v>116</v>
      </c>
      <c r="U25" s="147">
        <v>0.46875</v>
      </c>
      <c r="V25" s="149">
        <v>2.5694444444444742E-2</v>
      </c>
      <c r="Y25" s="178">
        <v>11</v>
      </c>
      <c r="Z25" s="186" t="s">
        <v>152</v>
      </c>
      <c r="AA25" s="178" t="s">
        <v>120</v>
      </c>
    </row>
    <row r="26" spans="1:27" x14ac:dyDescent="0.65">
      <c r="A26" s="137">
        <v>24</v>
      </c>
      <c r="B26" s="96">
        <f>IFERROR(_xlfn.XLOOKUP(TimeTable[[#This Row],[מס"ד]],TeamList[מס"ד],TeamList[מס'' הקבוצה]),"")</f>
        <v>1864</v>
      </c>
      <c r="C26" s="146" t="str">
        <f>IFERROR(_xlfn.XLOOKUP(TimeTable[[#This Row],[מס"ד]],TeamList[מס"ד],TeamList[שם הקבוצה]),"")</f>
        <v>אפרתה</v>
      </c>
      <c r="D26" s="96">
        <v>14</v>
      </c>
      <c r="E26" s="147">
        <v>0.44444444444444414</v>
      </c>
      <c r="F26" s="148" t="s">
        <v>121</v>
      </c>
      <c r="G26" s="96">
        <v>30</v>
      </c>
      <c r="H26" s="147">
        <v>0.53124999999999944</v>
      </c>
      <c r="I26" s="148" t="s">
        <v>119</v>
      </c>
      <c r="J26" s="96">
        <v>42</v>
      </c>
      <c r="K26" s="147">
        <v>0.60763888888888806</v>
      </c>
      <c r="L26" s="148" t="s">
        <v>121</v>
      </c>
      <c r="M26" s="96">
        <v>4</v>
      </c>
      <c r="N26" s="147">
        <v>0.37708333333333327</v>
      </c>
      <c r="O26" s="148" t="s">
        <v>122</v>
      </c>
      <c r="P26" s="160">
        <v>54</v>
      </c>
      <c r="Q26" s="147">
        <v>0.6909722222222211</v>
      </c>
      <c r="R26" s="177" t="s">
        <v>172</v>
      </c>
      <c r="S26" s="96">
        <v>4</v>
      </c>
      <c r="T26" s="96" t="s">
        <v>117</v>
      </c>
      <c r="U26" s="147">
        <v>0.46875</v>
      </c>
      <c r="V26" s="149">
        <v>2.2222222222222532E-2</v>
      </c>
      <c r="Y26" s="180">
        <v>12</v>
      </c>
      <c r="Z26" s="186" t="s">
        <v>171</v>
      </c>
      <c r="AA26" s="179" t="s">
        <v>172</v>
      </c>
    </row>
    <row r="27" spans="1:27" x14ac:dyDescent="0.65">
      <c r="A27" s="137">
        <v>25</v>
      </c>
      <c r="B27" s="96">
        <f>IFERROR(_xlfn.XLOOKUP(TimeTable[[#This Row],[מס"ד]],TeamList[מס"ד],TeamList[מס'' הקבוצה]),"")</f>
        <v>2840</v>
      </c>
      <c r="C27" s="146" t="str">
        <f>IFERROR(_xlfn.XLOOKUP(TimeTable[[#This Row],[מס"ד]],TeamList[מס"ד],TeamList[שם הקבוצה]),"")</f>
        <v>נצח ישראל</v>
      </c>
      <c r="D27" s="96">
        <v>13</v>
      </c>
      <c r="E27" s="147">
        <v>0.44097222222222193</v>
      </c>
      <c r="F27" s="148" t="s">
        <v>118</v>
      </c>
      <c r="G27" s="96">
        <v>34</v>
      </c>
      <c r="H27" s="147">
        <v>0.54513888888888828</v>
      </c>
      <c r="I27" s="148" t="s">
        <v>122</v>
      </c>
      <c r="J27" s="96">
        <v>43</v>
      </c>
      <c r="K27" s="147">
        <v>0.61111111111111027</v>
      </c>
      <c r="L27" s="148" t="s">
        <v>116</v>
      </c>
      <c r="M27" s="96">
        <v>5</v>
      </c>
      <c r="N27" s="147">
        <v>0.38124999999999992</v>
      </c>
      <c r="O27" s="148" t="s">
        <v>115</v>
      </c>
      <c r="P27" s="160">
        <v>49</v>
      </c>
      <c r="Q27" s="147">
        <v>0.66666666666666563</v>
      </c>
      <c r="R27" s="177" t="s">
        <v>117</v>
      </c>
      <c r="S27" s="96">
        <v>4</v>
      </c>
      <c r="T27" s="96" t="s">
        <v>118</v>
      </c>
      <c r="U27" s="147">
        <v>0.46875</v>
      </c>
      <c r="V27" s="149">
        <v>2.5694444444444742E-2</v>
      </c>
      <c r="Y27" s="178">
        <v>13</v>
      </c>
      <c r="Z27" s="186" t="s">
        <v>153</v>
      </c>
      <c r="AA27" s="178" t="s">
        <v>121</v>
      </c>
    </row>
    <row r="28" spans="1:27" x14ac:dyDescent="0.65">
      <c r="A28" s="137">
        <v>26</v>
      </c>
      <c r="B28" s="96">
        <f>IFERROR(_xlfn.XLOOKUP(TimeTable[[#This Row],[מס"ד]],TeamList[מס"ד],TeamList[מס'' הקבוצה]),"")</f>
        <v>52</v>
      </c>
      <c r="C28" s="146" t="str">
        <f>IFERROR(_xlfn.XLOOKUP(TimeTable[[#This Row],[מס"ד]],TeamList[מס"ד],TeamList[שם הקבוצה]),"")</f>
        <v xml:space="preserve">הנדסאים </v>
      </c>
      <c r="D28" s="96">
        <v>14</v>
      </c>
      <c r="E28" s="147">
        <v>0.44444444444444414</v>
      </c>
      <c r="F28" s="148" t="s">
        <v>122</v>
      </c>
      <c r="G28" s="96">
        <v>35</v>
      </c>
      <c r="H28" s="147">
        <v>0.54861111111111049</v>
      </c>
      <c r="I28" s="148" t="s">
        <v>118</v>
      </c>
      <c r="J28" s="96">
        <v>43</v>
      </c>
      <c r="K28" s="147">
        <v>0.61111111111111027</v>
      </c>
      <c r="L28" s="148" t="s">
        <v>115</v>
      </c>
      <c r="M28" s="96">
        <v>6</v>
      </c>
      <c r="N28" s="147">
        <v>0.38541666666666663</v>
      </c>
      <c r="O28" s="148" t="s">
        <v>119</v>
      </c>
      <c r="P28" s="160">
        <v>50</v>
      </c>
      <c r="Q28" s="147">
        <v>0.67013888888888784</v>
      </c>
      <c r="R28" s="177" t="s">
        <v>121</v>
      </c>
      <c r="S28" s="96">
        <v>4</v>
      </c>
      <c r="T28" s="96" t="s">
        <v>119</v>
      </c>
      <c r="U28" s="147">
        <v>0.46875</v>
      </c>
      <c r="V28" s="149">
        <v>2.2222222222222532E-2</v>
      </c>
      <c r="Y28" s="180">
        <v>14</v>
      </c>
      <c r="Z28" s="186" t="s">
        <v>173</v>
      </c>
      <c r="AA28" s="179" t="s">
        <v>174</v>
      </c>
    </row>
    <row r="29" spans="1:27" x14ac:dyDescent="0.65">
      <c r="A29" s="137">
        <v>27</v>
      </c>
      <c r="B29" s="96">
        <f>IFERROR(_xlfn.XLOOKUP(TimeTable[[#This Row],[מס"ד]],TeamList[מס"ד],TeamList[מס'' הקבוצה]),"")</f>
        <v>240</v>
      </c>
      <c r="C29" s="146" t="str">
        <f>IFERROR(_xlfn.XLOOKUP(TimeTable[[#This Row],[מס"ד]],TeamList[מס"ד],TeamList[שם הקבוצה]),"")</f>
        <v xml:space="preserve">קרית נוער </v>
      </c>
      <c r="D29" s="96">
        <v>13</v>
      </c>
      <c r="E29" s="147">
        <v>0.44097222222222193</v>
      </c>
      <c r="F29" s="148" t="s">
        <v>115</v>
      </c>
      <c r="G29" s="96">
        <v>36</v>
      </c>
      <c r="H29" s="147">
        <v>0.5520833333333327</v>
      </c>
      <c r="I29" s="148" t="s">
        <v>122</v>
      </c>
      <c r="J29" s="96">
        <v>43</v>
      </c>
      <c r="K29" s="147">
        <v>0.61111111111111027</v>
      </c>
      <c r="L29" s="148" t="s">
        <v>118</v>
      </c>
      <c r="M29" s="96">
        <v>7</v>
      </c>
      <c r="N29" s="147">
        <v>0.38958333333333328</v>
      </c>
      <c r="O29" s="148" t="s">
        <v>115</v>
      </c>
      <c r="P29" s="160">
        <v>51</v>
      </c>
      <c r="Q29" s="147">
        <v>0.67708333333333226</v>
      </c>
      <c r="R29" s="177" t="s">
        <v>117</v>
      </c>
      <c r="S29" s="96">
        <v>4</v>
      </c>
      <c r="T29" s="96" t="s">
        <v>120</v>
      </c>
      <c r="U29" s="147">
        <v>0.46875</v>
      </c>
      <c r="V29" s="149">
        <v>2.5694444444444742E-2</v>
      </c>
      <c r="Y29" s="178">
        <v>15</v>
      </c>
      <c r="Z29" s="137" t="s">
        <v>154</v>
      </c>
      <c r="AA29" s="178" t="s">
        <v>122</v>
      </c>
    </row>
    <row r="30" spans="1:27" x14ac:dyDescent="0.65">
      <c r="A30" s="137">
        <v>28</v>
      </c>
      <c r="B30" s="96">
        <f>IFERROR(_xlfn.XLOOKUP(TimeTable[[#This Row],[מס"ד]],TeamList[מס"ד],TeamList[מס'' הקבוצה]),"")</f>
        <v>1697</v>
      </c>
      <c r="C30" s="146" t="str">
        <f>IFERROR(_xlfn.XLOOKUP(TimeTable[[#This Row],[מס"ד]],TeamList[מס"ד],TeamList[שם הקבוצה]),"")</f>
        <v xml:space="preserve">לאורו נלך </v>
      </c>
      <c r="D30" s="96">
        <v>14</v>
      </c>
      <c r="E30" s="147">
        <v>0.44444444444444414</v>
      </c>
      <c r="F30" s="148" t="s">
        <v>119</v>
      </c>
      <c r="G30" s="96">
        <v>34</v>
      </c>
      <c r="H30" s="147">
        <v>0.54513888888888828</v>
      </c>
      <c r="I30" s="148" t="s">
        <v>121</v>
      </c>
      <c r="J30" s="96">
        <v>43</v>
      </c>
      <c r="K30" s="147">
        <v>0.61111111111111027</v>
      </c>
      <c r="L30" s="148" t="s">
        <v>117</v>
      </c>
      <c r="M30" s="96">
        <v>8</v>
      </c>
      <c r="N30" s="147">
        <v>0.39374999999999993</v>
      </c>
      <c r="O30" s="148" t="s">
        <v>119</v>
      </c>
      <c r="P30" s="160">
        <v>52</v>
      </c>
      <c r="Q30" s="147">
        <v>0.68055555555555447</v>
      </c>
      <c r="R30" s="177" t="s">
        <v>121</v>
      </c>
      <c r="S30" s="96">
        <v>4</v>
      </c>
      <c r="T30" s="96" t="s">
        <v>121</v>
      </c>
      <c r="U30" s="147">
        <v>0.46875</v>
      </c>
      <c r="V30" s="149">
        <v>2.2222222222222532E-2</v>
      </c>
      <c r="Y30" s="180">
        <v>16</v>
      </c>
      <c r="Z30" s="137" t="s">
        <v>175</v>
      </c>
      <c r="AA30" s="180" t="s">
        <v>176</v>
      </c>
    </row>
    <row r="31" spans="1:27" x14ac:dyDescent="0.65">
      <c r="A31" s="137">
        <v>29</v>
      </c>
      <c r="B31" s="96">
        <f>IFERROR(_xlfn.XLOOKUP(TimeTable[[#This Row],[מס"ד]],TeamList[מס"ד],TeamList[מס'' הקבוצה]),"")</f>
        <v>1333</v>
      </c>
      <c r="C31" s="146" t="str">
        <f>IFERROR(_xlfn.XLOOKUP(TimeTable[[#This Row],[מס"ד]],TeamList[מס"ד],TeamList[שם הקבוצה]),"")</f>
        <v>אפרתה</v>
      </c>
      <c r="D31" s="96">
        <v>13</v>
      </c>
      <c r="E31" s="147">
        <v>0.44097222222222193</v>
      </c>
      <c r="F31" s="148" t="s">
        <v>116</v>
      </c>
      <c r="G31" s="96">
        <v>35</v>
      </c>
      <c r="H31" s="147">
        <v>0.54861111111111049</v>
      </c>
      <c r="I31" s="148" t="s">
        <v>117</v>
      </c>
      <c r="J31" s="96">
        <v>44</v>
      </c>
      <c r="K31" s="147">
        <v>0.61458333333333248</v>
      </c>
      <c r="L31" s="148" t="s">
        <v>120</v>
      </c>
      <c r="M31" s="96">
        <v>5</v>
      </c>
      <c r="N31" s="147">
        <v>0.38124999999999992</v>
      </c>
      <c r="O31" s="148" t="s">
        <v>116</v>
      </c>
      <c r="P31" s="160">
        <v>53</v>
      </c>
      <c r="Q31" s="147">
        <v>0.68749999999999889</v>
      </c>
      <c r="R31" s="177" t="s">
        <v>117</v>
      </c>
      <c r="S31" s="96">
        <v>5</v>
      </c>
      <c r="T31" s="96" t="s">
        <v>115</v>
      </c>
      <c r="U31" s="147">
        <v>0.5</v>
      </c>
      <c r="V31" s="149">
        <v>2.986111111111045E-2</v>
      </c>
    </row>
    <row r="32" spans="1:27" x14ac:dyDescent="0.65">
      <c r="A32" s="137">
        <v>30</v>
      </c>
      <c r="B32" s="96">
        <f>IFERROR(_xlfn.XLOOKUP(TimeTable[[#This Row],[מס"ד]],TeamList[מס"ד],TeamList[מס'' הקבוצה]),"")</f>
        <v>662</v>
      </c>
      <c r="C32" s="146" t="str">
        <f>IFERROR(_xlfn.XLOOKUP(TimeTable[[#This Row],[מס"ד]],TeamList[מס"ד],TeamList[שם הקבוצה]),"")</f>
        <v xml:space="preserve">אלגדיר </v>
      </c>
      <c r="D32" s="96">
        <v>14</v>
      </c>
      <c r="E32" s="147">
        <v>0.44444444444444414</v>
      </c>
      <c r="F32" s="148" t="s">
        <v>120</v>
      </c>
      <c r="G32" s="96">
        <v>36</v>
      </c>
      <c r="H32" s="147">
        <v>0.5520833333333327</v>
      </c>
      <c r="I32" s="148" t="s">
        <v>121</v>
      </c>
      <c r="J32" s="96">
        <v>44</v>
      </c>
      <c r="K32" s="147">
        <v>0.61458333333333248</v>
      </c>
      <c r="L32" s="148" t="s">
        <v>119</v>
      </c>
      <c r="M32" s="96">
        <v>6</v>
      </c>
      <c r="N32" s="147">
        <v>0.38541666666666663</v>
      </c>
      <c r="O32" s="148" t="s">
        <v>120</v>
      </c>
      <c r="P32" s="160">
        <v>54</v>
      </c>
      <c r="Q32" s="147">
        <v>0.6909722222222211</v>
      </c>
      <c r="R32" s="177" t="s">
        <v>121</v>
      </c>
      <c r="S32" s="96">
        <v>5</v>
      </c>
      <c r="T32" s="96" t="s">
        <v>116</v>
      </c>
      <c r="U32" s="147">
        <v>0.5</v>
      </c>
      <c r="V32" s="149">
        <v>3.333333333333266E-2</v>
      </c>
    </row>
    <row r="33" spans="1:22" x14ac:dyDescent="0.65">
      <c r="A33" s="137">
        <v>31</v>
      </c>
      <c r="B33" s="96">
        <f>IFERROR(_xlfn.XLOOKUP(TimeTable[[#This Row],[מס"ד]],TeamList[מס"ד],TeamList[מס'' הקבוצה]),"")</f>
        <v>1301</v>
      </c>
      <c r="C33" s="146" t="str">
        <f>IFERROR(_xlfn.XLOOKUP(TimeTable[[#This Row],[מס"ד]],TeamList[מס"ד],TeamList[שם הקבוצה]),"")</f>
        <v xml:space="preserve">מרכז מחוננים </v>
      </c>
      <c r="D33" s="96">
        <v>15</v>
      </c>
      <c r="E33" s="147">
        <v>0.44791666666666635</v>
      </c>
      <c r="F33" s="148" t="s">
        <v>116</v>
      </c>
      <c r="G33" s="96">
        <v>34</v>
      </c>
      <c r="H33" s="147">
        <v>0.54513888888888828</v>
      </c>
      <c r="I33" s="148" t="s">
        <v>120</v>
      </c>
      <c r="J33" s="96">
        <v>44</v>
      </c>
      <c r="K33" s="147">
        <v>0.61458333333333248</v>
      </c>
      <c r="L33" s="148" t="s">
        <v>122</v>
      </c>
      <c r="M33" s="96">
        <v>7</v>
      </c>
      <c r="N33" s="147">
        <v>0.38958333333333328</v>
      </c>
      <c r="O33" s="148" t="s">
        <v>116</v>
      </c>
      <c r="P33" s="160">
        <v>49</v>
      </c>
      <c r="Q33" s="147">
        <v>0.66666666666666563</v>
      </c>
      <c r="R33" s="177" t="s">
        <v>164</v>
      </c>
      <c r="S33" s="96">
        <v>5</v>
      </c>
      <c r="T33" s="96" t="s">
        <v>117</v>
      </c>
      <c r="U33" s="147">
        <v>0.5</v>
      </c>
      <c r="V33" s="149">
        <v>2.638888888888824E-2</v>
      </c>
    </row>
    <row r="34" spans="1:22" x14ac:dyDescent="0.65">
      <c r="A34" s="137">
        <v>32</v>
      </c>
      <c r="B34" s="96">
        <f>IFERROR(_xlfn.XLOOKUP(TimeTable[[#This Row],[מס"ד]],TeamList[מס"ד],TeamList[מס'' הקבוצה]),"")</f>
        <v>3182</v>
      </c>
      <c r="C34" s="146" t="str">
        <f>IFERROR(_xlfn.XLOOKUP(TimeTable[[#This Row],[מס"ד]],TeamList[מס"ד],TeamList[שם הקבוצה]),"")</f>
        <v>בנים</v>
      </c>
      <c r="D34" s="96">
        <v>16</v>
      </c>
      <c r="E34" s="147">
        <v>0.45138888888888856</v>
      </c>
      <c r="F34" s="148" t="s">
        <v>120</v>
      </c>
      <c r="G34" s="96">
        <v>35</v>
      </c>
      <c r="H34" s="147">
        <v>0.54861111111111049</v>
      </c>
      <c r="I34" s="148" t="s">
        <v>116</v>
      </c>
      <c r="J34" s="96">
        <v>44</v>
      </c>
      <c r="K34" s="147">
        <v>0.61458333333333248</v>
      </c>
      <c r="L34" s="148" t="s">
        <v>121</v>
      </c>
      <c r="M34" s="96">
        <v>8</v>
      </c>
      <c r="N34" s="147">
        <v>0.39374999999999993</v>
      </c>
      <c r="O34" s="148" t="s">
        <v>120</v>
      </c>
      <c r="P34" s="160">
        <v>50</v>
      </c>
      <c r="Q34" s="147">
        <v>0.67013888888888784</v>
      </c>
      <c r="R34" s="177" t="s">
        <v>174</v>
      </c>
      <c r="S34" s="96">
        <v>5</v>
      </c>
      <c r="T34" s="96" t="s">
        <v>118</v>
      </c>
      <c r="U34" s="147">
        <v>0.5</v>
      </c>
      <c r="V34" s="149">
        <v>2.986111111111045E-2</v>
      </c>
    </row>
    <row r="35" spans="1:22" x14ac:dyDescent="0.65">
      <c r="A35" s="137">
        <v>33</v>
      </c>
      <c r="B35" s="96">
        <f>IFERROR(_xlfn.XLOOKUP(TimeTable[[#This Row],[מס"ד]],TeamList[מס"ד],TeamList[מס'' הקבוצה]),"")</f>
        <v>1324</v>
      </c>
      <c r="C35" s="146" t="str">
        <f>IFERROR(_xlfn.XLOOKUP(TimeTable[[#This Row],[מס"ד]],TeamList[מס"ד],TeamList[שם הקבוצה]),"")</f>
        <v xml:space="preserve">עירוני ד </v>
      </c>
      <c r="D35" s="96">
        <v>19</v>
      </c>
      <c r="E35" s="147">
        <v>0.46180555555555519</v>
      </c>
      <c r="F35" s="148" t="s">
        <v>117</v>
      </c>
      <c r="G35" s="96">
        <v>36</v>
      </c>
      <c r="H35" s="147">
        <v>0.5520833333333327</v>
      </c>
      <c r="I35" s="148" t="s">
        <v>120</v>
      </c>
      <c r="J35" s="96">
        <v>45</v>
      </c>
      <c r="K35" s="147">
        <v>0.61805555555555469</v>
      </c>
      <c r="L35" s="148" t="s">
        <v>116</v>
      </c>
      <c r="M35" s="96">
        <v>5</v>
      </c>
      <c r="N35" s="147">
        <v>0.38124999999999992</v>
      </c>
      <c r="O35" s="148" t="s">
        <v>117</v>
      </c>
      <c r="P35" s="160">
        <v>51</v>
      </c>
      <c r="Q35" s="147">
        <v>0.67708333333333226</v>
      </c>
      <c r="R35" s="177" t="s">
        <v>164</v>
      </c>
      <c r="S35" s="96">
        <v>5</v>
      </c>
      <c r="T35" s="96" t="s">
        <v>119</v>
      </c>
      <c r="U35" s="147">
        <v>0.5</v>
      </c>
      <c r="V35" s="149">
        <v>3.333333333333266E-2</v>
      </c>
    </row>
    <row r="36" spans="1:22" x14ac:dyDescent="0.65">
      <c r="A36" s="137">
        <v>34</v>
      </c>
      <c r="B36" s="96">
        <f>IFERROR(_xlfn.XLOOKUP(TimeTable[[#This Row],[מס"ד]],TeamList[מס"ד],TeamList[מס'' הקבוצה]),"")</f>
        <v>2622</v>
      </c>
      <c r="C36" s="146" t="str">
        <f>IFERROR(_xlfn.XLOOKUP(TimeTable[[#This Row],[מס"ד]],TeamList[מס"ד],TeamList[שם הקבוצה]),"")</f>
        <v>גינסבורג</v>
      </c>
      <c r="D36" s="96">
        <v>20</v>
      </c>
      <c r="E36" s="147">
        <v>0.4652777777777774</v>
      </c>
      <c r="F36" s="148" t="s">
        <v>121</v>
      </c>
      <c r="G36" s="96">
        <v>34</v>
      </c>
      <c r="H36" s="147">
        <v>0.54513888888888828</v>
      </c>
      <c r="I36" s="148" t="s">
        <v>119</v>
      </c>
      <c r="J36" s="96">
        <v>45</v>
      </c>
      <c r="K36" s="147">
        <v>0.61805555555555469</v>
      </c>
      <c r="L36" s="148" t="s">
        <v>115</v>
      </c>
      <c r="M36" s="96">
        <v>6</v>
      </c>
      <c r="N36" s="147">
        <v>0.38541666666666663</v>
      </c>
      <c r="O36" s="148" t="s">
        <v>121</v>
      </c>
      <c r="P36" s="160">
        <v>52</v>
      </c>
      <c r="Q36" s="147">
        <v>0.68055555555555447</v>
      </c>
      <c r="R36" s="177" t="s">
        <v>174</v>
      </c>
      <c r="S36" s="96">
        <v>5</v>
      </c>
      <c r="T36" s="96" t="s">
        <v>120</v>
      </c>
      <c r="U36" s="147">
        <v>0.5</v>
      </c>
      <c r="V36" s="149">
        <v>2.638888888888824E-2</v>
      </c>
    </row>
    <row r="37" spans="1:22" x14ac:dyDescent="0.65">
      <c r="A37" s="137">
        <v>35</v>
      </c>
      <c r="B37" s="96">
        <f>IFERROR(_xlfn.XLOOKUP(TimeTable[[#This Row],[מס"ד]],TeamList[מס"ד],TeamList[מס'' הקבוצה]),"")</f>
        <v>1616</v>
      </c>
      <c r="C37" s="146" t="str">
        <f>IFERROR(_xlfn.XLOOKUP(TimeTable[[#This Row],[מס"ד]],TeamList[מס"ד],TeamList[שם הקבוצה]),"")</f>
        <v>אילן רמון</v>
      </c>
      <c r="D37" s="96">
        <v>19</v>
      </c>
      <c r="E37" s="147">
        <v>0.46180555555555519</v>
      </c>
      <c r="F37" s="148" t="s">
        <v>118</v>
      </c>
      <c r="G37" s="96">
        <v>35</v>
      </c>
      <c r="H37" s="147">
        <v>0.54861111111111049</v>
      </c>
      <c r="I37" s="148" t="s">
        <v>115</v>
      </c>
      <c r="J37" s="96">
        <v>45</v>
      </c>
      <c r="K37" s="147">
        <v>0.61805555555555469</v>
      </c>
      <c r="L37" s="148" t="s">
        <v>118</v>
      </c>
      <c r="M37" s="96">
        <v>7</v>
      </c>
      <c r="N37" s="147">
        <v>0.38958333333333328</v>
      </c>
      <c r="O37" s="148" t="s">
        <v>117</v>
      </c>
      <c r="P37" s="160">
        <v>53</v>
      </c>
      <c r="Q37" s="147">
        <v>0.68749999999999889</v>
      </c>
      <c r="R37" s="177" t="s">
        <v>164</v>
      </c>
      <c r="S37" s="96">
        <v>5</v>
      </c>
      <c r="T37" s="96" t="s">
        <v>121</v>
      </c>
      <c r="U37" s="147">
        <v>0.5</v>
      </c>
      <c r="V37" s="149">
        <v>2.986111111111045E-2</v>
      </c>
    </row>
    <row r="38" spans="1:22" x14ac:dyDescent="0.65">
      <c r="A38" s="137">
        <v>36</v>
      </c>
      <c r="B38" s="96">
        <f>IFERROR(_xlfn.XLOOKUP(TimeTable[[#This Row],[מס"ד]],TeamList[מס"ד],TeamList[מס'' הקבוצה]),"")</f>
        <v>1214</v>
      </c>
      <c r="C38" s="146" t="str">
        <f>IFERROR(_xlfn.XLOOKUP(TimeTable[[#This Row],[מס"ד]],TeamList[מס"ד],TeamList[שם הקבוצה]),"")</f>
        <v>אל זהראא ב</v>
      </c>
      <c r="D38" s="96">
        <v>20</v>
      </c>
      <c r="E38" s="147">
        <v>0.4652777777777774</v>
      </c>
      <c r="F38" s="148" t="s">
        <v>122</v>
      </c>
      <c r="G38" s="96">
        <v>31</v>
      </c>
      <c r="H38" s="147">
        <v>0.53472222222222165</v>
      </c>
      <c r="I38" s="148" t="s">
        <v>118</v>
      </c>
      <c r="J38" s="96">
        <v>45</v>
      </c>
      <c r="K38" s="147">
        <v>0.61805555555555469</v>
      </c>
      <c r="L38" s="148" t="s">
        <v>117</v>
      </c>
      <c r="M38" s="96">
        <v>8</v>
      </c>
      <c r="N38" s="147">
        <v>0.39374999999999993</v>
      </c>
      <c r="O38" s="148" t="s">
        <v>121</v>
      </c>
      <c r="P38" s="160">
        <v>54</v>
      </c>
      <c r="Q38" s="147">
        <v>0.6909722222222211</v>
      </c>
      <c r="R38" s="177" t="s">
        <v>174</v>
      </c>
      <c r="S38" s="96">
        <v>6</v>
      </c>
      <c r="T38" s="96" t="s">
        <v>115</v>
      </c>
      <c r="U38" s="147">
        <v>0.56249999999999989</v>
      </c>
      <c r="V38" s="149">
        <v>2.5694444444444908E-2</v>
      </c>
    </row>
    <row r="39" spans="1:22" x14ac:dyDescent="0.65">
      <c r="A39" s="137">
        <v>37</v>
      </c>
      <c r="B39" s="96">
        <f>IFERROR(_xlfn.XLOOKUP(TimeTable[[#This Row],[מס"ד]],TeamList[מס"ד],TeamList[מס'' הקבוצה]),"")</f>
        <v>1300</v>
      </c>
      <c r="C39" s="146" t="str">
        <f>IFERROR(_xlfn.XLOOKUP(TimeTable[[#This Row],[מס"ד]],TeamList[מס"ד],TeamList[שם הקבוצה]),"")</f>
        <v xml:space="preserve">מרכז מחוננים </v>
      </c>
      <c r="D39" s="96">
        <v>19</v>
      </c>
      <c r="E39" s="147">
        <v>0.46180555555555519</v>
      </c>
      <c r="F39" s="148" t="s">
        <v>115</v>
      </c>
      <c r="G39" s="96">
        <v>32</v>
      </c>
      <c r="H39" s="147">
        <v>0.53819444444444386</v>
      </c>
      <c r="I39" s="148" t="s">
        <v>122</v>
      </c>
      <c r="J39" s="96">
        <v>46</v>
      </c>
      <c r="K39" s="147">
        <v>0.6215277777777769</v>
      </c>
      <c r="L39" s="148" t="s">
        <v>120</v>
      </c>
      <c r="M39" s="96">
        <v>5</v>
      </c>
      <c r="N39" s="147">
        <v>0.38124999999999992</v>
      </c>
      <c r="O39" s="148" t="s">
        <v>118</v>
      </c>
      <c r="P39" s="160">
        <v>49</v>
      </c>
      <c r="Q39" s="147">
        <v>0.66666666666666563</v>
      </c>
      <c r="R39" s="177" t="s">
        <v>118</v>
      </c>
      <c r="S39" s="96">
        <v>6</v>
      </c>
      <c r="T39" s="96" t="s">
        <v>116</v>
      </c>
      <c r="U39" s="147">
        <v>0.56249999999999989</v>
      </c>
      <c r="V39" s="149">
        <v>2.2222222222222698E-2</v>
      </c>
    </row>
    <row r="40" spans="1:22" x14ac:dyDescent="0.65">
      <c r="A40" s="137">
        <v>38</v>
      </c>
      <c r="B40" s="96">
        <f>IFERROR(_xlfn.XLOOKUP(TimeTable[[#This Row],[מס"ד]],TeamList[מס"ד],TeamList[מס'' הקבוצה]),"")</f>
        <v>3340</v>
      </c>
      <c r="C40" s="146" t="str">
        <f>IFERROR(_xlfn.XLOOKUP(TimeTable[[#This Row],[מס"ד]],TeamList[מס"ד],TeamList[שם הקבוצה]),"")</f>
        <v xml:space="preserve">עמי אסף </v>
      </c>
      <c r="D40" s="96">
        <v>20</v>
      </c>
      <c r="E40" s="147">
        <v>0.4652777777777774</v>
      </c>
      <c r="F40" s="148" t="s">
        <v>119</v>
      </c>
      <c r="G40" s="96">
        <v>33</v>
      </c>
      <c r="H40" s="147">
        <v>0.54166666666666607</v>
      </c>
      <c r="I40" s="148" t="s">
        <v>118</v>
      </c>
      <c r="J40" s="96">
        <v>46</v>
      </c>
      <c r="K40" s="147">
        <v>0.6215277777777769</v>
      </c>
      <c r="L40" s="148" t="s">
        <v>119</v>
      </c>
      <c r="M40" s="96">
        <v>6</v>
      </c>
      <c r="N40" s="147">
        <v>0.38541666666666663</v>
      </c>
      <c r="O40" s="148" t="s">
        <v>122</v>
      </c>
      <c r="P40" s="160">
        <v>50</v>
      </c>
      <c r="Q40" s="147">
        <v>0.67013888888888784</v>
      </c>
      <c r="R40" s="177" t="s">
        <v>122</v>
      </c>
      <c r="S40" s="96">
        <v>6</v>
      </c>
      <c r="T40" s="96" t="s">
        <v>117</v>
      </c>
      <c r="U40" s="147">
        <v>0.56249999999999989</v>
      </c>
      <c r="V40" s="149">
        <v>1.8750000000000488E-2</v>
      </c>
    </row>
    <row r="41" spans="1:22" x14ac:dyDescent="0.65">
      <c r="A41" s="137">
        <v>39</v>
      </c>
      <c r="B41" s="96">
        <f>IFERROR(_xlfn.XLOOKUP(TimeTable[[#This Row],[מס"ד]],TeamList[מס"ד],TeamList[מס'' הקבוצה]),"")</f>
        <v>3128</v>
      </c>
      <c r="C41" s="146" t="str">
        <f>IFERROR(_xlfn.XLOOKUP(TimeTable[[#This Row],[מס"ד]],TeamList[מס"ד],TeamList[שם הקבוצה]),"")</f>
        <v xml:space="preserve">נרייה </v>
      </c>
      <c r="D41" s="96">
        <v>19</v>
      </c>
      <c r="E41" s="147">
        <v>0.46180555555555519</v>
      </c>
      <c r="F41" s="148" t="s">
        <v>116</v>
      </c>
      <c r="G41" s="96">
        <v>31</v>
      </c>
      <c r="H41" s="147">
        <v>0.53472222222222165</v>
      </c>
      <c r="I41" s="148" t="s">
        <v>117</v>
      </c>
      <c r="J41" s="96">
        <v>46</v>
      </c>
      <c r="K41" s="147">
        <v>0.6215277777777769</v>
      </c>
      <c r="L41" s="148" t="s">
        <v>122</v>
      </c>
      <c r="M41" s="96">
        <v>7</v>
      </c>
      <c r="N41" s="147">
        <v>0.38958333333333328</v>
      </c>
      <c r="O41" s="148" t="s">
        <v>118</v>
      </c>
      <c r="P41" s="160">
        <v>51</v>
      </c>
      <c r="Q41" s="147">
        <v>0.67708333333333226</v>
      </c>
      <c r="R41" s="177" t="s">
        <v>118</v>
      </c>
      <c r="S41" s="96">
        <v>6</v>
      </c>
      <c r="T41" s="96" t="s">
        <v>118</v>
      </c>
      <c r="U41" s="147">
        <v>0.56249999999999989</v>
      </c>
      <c r="V41" s="149">
        <v>2.5694444444444908E-2</v>
      </c>
    </row>
    <row r="42" spans="1:22" x14ac:dyDescent="0.65">
      <c r="A42" s="137">
        <v>40</v>
      </c>
      <c r="B42" s="96">
        <f>IFERROR(_xlfn.XLOOKUP(TimeTable[[#This Row],[מס"ד]],TeamList[מס"ד],TeamList[מס'' הקבוצה]),"")</f>
        <v>1099</v>
      </c>
      <c r="C42" s="146" t="str">
        <f>IFERROR(_xlfn.XLOOKUP(TimeTable[[#This Row],[מס"ד]],TeamList[מס"ד],TeamList[שם הקבוצה]),"")</f>
        <v>אפרתה</v>
      </c>
      <c r="D42" s="96">
        <v>20</v>
      </c>
      <c r="E42" s="147">
        <v>0.4652777777777774</v>
      </c>
      <c r="F42" s="148" t="s">
        <v>120</v>
      </c>
      <c r="G42" s="154">
        <v>32</v>
      </c>
      <c r="H42" s="147">
        <v>0.53819444444444386</v>
      </c>
      <c r="I42" s="153" t="s">
        <v>121</v>
      </c>
      <c r="J42" s="96">
        <v>46</v>
      </c>
      <c r="K42" s="147">
        <v>0.6215277777777769</v>
      </c>
      <c r="L42" s="148" t="s">
        <v>121</v>
      </c>
      <c r="M42" s="96">
        <v>8</v>
      </c>
      <c r="N42" s="147">
        <v>0.39374999999999993</v>
      </c>
      <c r="O42" s="148" t="s">
        <v>122</v>
      </c>
      <c r="P42" s="160">
        <v>52</v>
      </c>
      <c r="Q42" s="147">
        <v>0.68055555555555447</v>
      </c>
      <c r="R42" s="177" t="s">
        <v>122</v>
      </c>
      <c r="S42" s="96">
        <v>6</v>
      </c>
      <c r="T42" s="96" t="s">
        <v>119</v>
      </c>
      <c r="U42" s="147">
        <v>0.56249999999999989</v>
      </c>
      <c r="V42" s="149">
        <v>2.2222222222222698E-2</v>
      </c>
    </row>
    <row r="43" spans="1:22" x14ac:dyDescent="0.65">
      <c r="A43" s="137">
        <v>41</v>
      </c>
      <c r="B43" s="96">
        <f>IFERROR(_xlfn.XLOOKUP(TimeTable[[#This Row],[מס"ד]],TeamList[מס"ד],TeamList[מס'' הקבוצה]),"")</f>
        <v>3294</v>
      </c>
      <c r="C43" s="146" t="str">
        <f>IFERROR(_xlfn.XLOOKUP(TimeTable[[#This Row],[מס"ד]],TeamList[מס"ד],TeamList[שם הקבוצה]),"")</f>
        <v>שלנו</v>
      </c>
      <c r="D43" s="96">
        <v>21</v>
      </c>
      <c r="E43" s="147">
        <v>0.46874999999999961</v>
      </c>
      <c r="F43" s="148" t="s">
        <v>117</v>
      </c>
      <c r="G43" s="96">
        <v>33</v>
      </c>
      <c r="H43" s="147">
        <v>0.54166666666666607</v>
      </c>
      <c r="I43" s="148" t="s">
        <v>117</v>
      </c>
      <c r="J43" s="96">
        <v>47</v>
      </c>
      <c r="K43" s="147">
        <v>0.62499999999999911</v>
      </c>
      <c r="L43" s="148" t="s">
        <v>116</v>
      </c>
      <c r="M43" s="96">
        <v>9</v>
      </c>
      <c r="N43" s="147">
        <v>0.39791666666666659</v>
      </c>
      <c r="O43" s="148" t="s">
        <v>117</v>
      </c>
      <c r="P43" s="160">
        <v>53</v>
      </c>
      <c r="Q43" s="147">
        <v>0.68749999999999889</v>
      </c>
      <c r="R43" s="177" t="s">
        <v>118</v>
      </c>
      <c r="S43" s="96">
        <v>6</v>
      </c>
      <c r="T43" s="96" t="s">
        <v>120</v>
      </c>
      <c r="U43" s="147">
        <v>0.56249999999999989</v>
      </c>
      <c r="V43" s="149">
        <v>1.8750000000000488E-2</v>
      </c>
    </row>
    <row r="44" spans="1:22" x14ac:dyDescent="0.65">
      <c r="A44" s="137">
        <v>42</v>
      </c>
      <c r="B44" s="96">
        <f>IFERROR(_xlfn.XLOOKUP(TimeTable[[#This Row],[מס"ד]],TeamList[מס"ד],TeamList[מס'' הקבוצה]),"")</f>
        <v>3184</v>
      </c>
      <c r="C44" s="146" t="str">
        <f>IFERROR(_xlfn.XLOOKUP(TimeTable[[#This Row],[מס"ד]],TeamList[מס"ד],TeamList[שם הקבוצה]),"")</f>
        <v>תיכון דרך</v>
      </c>
      <c r="D44" s="96">
        <v>22</v>
      </c>
      <c r="E44" s="147">
        <v>0.47222222222222182</v>
      </c>
      <c r="F44" s="148" t="s">
        <v>121</v>
      </c>
      <c r="G44" s="96">
        <v>31</v>
      </c>
      <c r="H44" s="147">
        <v>0.53472222222222165</v>
      </c>
      <c r="I44" s="148" t="s">
        <v>116</v>
      </c>
      <c r="J44" s="96">
        <v>47</v>
      </c>
      <c r="K44" s="147">
        <v>0.62499999999999911</v>
      </c>
      <c r="L44" s="148" t="s">
        <v>115</v>
      </c>
      <c r="M44" s="96">
        <v>10</v>
      </c>
      <c r="N44" s="147">
        <v>0.40208333333333324</v>
      </c>
      <c r="O44" s="148" t="s">
        <v>121</v>
      </c>
      <c r="P44" s="160">
        <v>54</v>
      </c>
      <c r="Q44" s="147">
        <v>0.6909722222222211</v>
      </c>
      <c r="R44" s="177" t="s">
        <v>122</v>
      </c>
      <c r="S44" s="96">
        <v>6</v>
      </c>
      <c r="T44" s="96" t="s">
        <v>121</v>
      </c>
      <c r="U44" s="147">
        <v>0.56249999999999989</v>
      </c>
      <c r="V44" s="149">
        <v>2.5694444444444908E-2</v>
      </c>
    </row>
    <row r="45" spans="1:22" x14ac:dyDescent="0.65">
      <c r="A45" s="137">
        <v>43</v>
      </c>
      <c r="B45" s="96">
        <f>IFERROR(_xlfn.XLOOKUP(TimeTable[[#This Row],[מס"ד]],TeamList[מס"ד],TeamList[מס'' הקבוצה]),"")</f>
        <v>2748</v>
      </c>
      <c r="C45" s="146" t="str">
        <f>IFERROR(_xlfn.XLOOKUP(TimeTable[[#This Row],[מס"ד]],TeamList[מס"ד],TeamList[שם הקבוצה]),"")</f>
        <v xml:space="preserve">מקיף כוכב </v>
      </c>
      <c r="D45" s="96">
        <v>21</v>
      </c>
      <c r="E45" s="147">
        <v>0.46874999999999961</v>
      </c>
      <c r="F45" s="148" t="s">
        <v>118</v>
      </c>
      <c r="G45" s="96">
        <v>32</v>
      </c>
      <c r="H45" s="147">
        <v>0.53819444444444386</v>
      </c>
      <c r="I45" s="148" t="s">
        <v>120</v>
      </c>
      <c r="J45" s="96">
        <v>47</v>
      </c>
      <c r="K45" s="147">
        <v>0.62499999999999911</v>
      </c>
      <c r="L45" s="148" t="s">
        <v>118</v>
      </c>
      <c r="M45" s="96">
        <v>11</v>
      </c>
      <c r="N45" s="147">
        <v>0.40624999999999994</v>
      </c>
      <c r="O45" s="148" t="s">
        <v>117</v>
      </c>
      <c r="P45" s="160">
        <v>49</v>
      </c>
      <c r="Q45" s="147">
        <v>0.66666666666666563</v>
      </c>
      <c r="R45" s="177" t="s">
        <v>163</v>
      </c>
      <c r="S45" s="96">
        <v>7</v>
      </c>
      <c r="T45" s="96" t="s">
        <v>115</v>
      </c>
      <c r="U45" s="147">
        <v>0.59374999999999989</v>
      </c>
      <c r="V45" s="149">
        <v>1.2499999999999178E-2</v>
      </c>
    </row>
    <row r="46" spans="1:22" x14ac:dyDescent="0.65">
      <c r="A46" s="137">
        <v>44</v>
      </c>
      <c r="B46" s="96">
        <f>IFERROR(_xlfn.XLOOKUP(TimeTable[[#This Row],[מס"ד]],TeamList[מס"ד],TeamList[מס'' הקבוצה]),"")</f>
        <v>1332</v>
      </c>
      <c r="C46" s="146" t="str">
        <f>IFERROR(_xlfn.XLOOKUP(TimeTable[[#This Row],[מס"ד]],TeamList[מס"ד],TeamList[שם הקבוצה]),"")</f>
        <v>אפרתה</v>
      </c>
      <c r="D46" s="96">
        <v>22</v>
      </c>
      <c r="E46" s="147">
        <v>0.47222222222222182</v>
      </c>
      <c r="F46" s="148" t="s">
        <v>122</v>
      </c>
      <c r="G46" s="96">
        <v>33</v>
      </c>
      <c r="H46" s="147">
        <v>0.54166666666666607</v>
      </c>
      <c r="I46" s="148" t="s">
        <v>116</v>
      </c>
      <c r="J46" s="96">
        <v>47</v>
      </c>
      <c r="K46" s="147">
        <v>0.62499999999999911</v>
      </c>
      <c r="L46" s="148" t="s">
        <v>117</v>
      </c>
      <c r="M46" s="96">
        <v>12</v>
      </c>
      <c r="N46" s="147">
        <v>0.4104166666666666</v>
      </c>
      <c r="O46" s="148" t="s">
        <v>121</v>
      </c>
      <c r="P46" s="160">
        <v>50</v>
      </c>
      <c r="Q46" s="147">
        <v>0.67013888888888784</v>
      </c>
      <c r="R46" s="177" t="s">
        <v>176</v>
      </c>
      <c r="S46" s="96">
        <v>7</v>
      </c>
      <c r="T46" s="96" t="s">
        <v>116</v>
      </c>
      <c r="U46" s="147">
        <v>0.59374999999999989</v>
      </c>
      <c r="V46" s="149">
        <v>1.2499999999999178E-2</v>
      </c>
    </row>
    <row r="47" spans="1:22" x14ac:dyDescent="0.65">
      <c r="A47" s="137">
        <v>45</v>
      </c>
      <c r="B47" s="96">
        <f>IFERROR(_xlfn.XLOOKUP(TimeTable[[#This Row],[מס"ד]],TeamList[מס"ד],TeamList[מס'' הקבוצה]),"")</f>
        <v>3006</v>
      </c>
      <c r="C47" s="146" t="str">
        <f>IFERROR(_xlfn.XLOOKUP(TimeTable[[#This Row],[מס"ד]],TeamList[מס"ד],TeamList[שם הקבוצה]),"")</f>
        <v xml:space="preserve">כוכב </v>
      </c>
      <c r="D47" s="96">
        <v>21</v>
      </c>
      <c r="E47" s="147">
        <v>0.46874999999999961</v>
      </c>
      <c r="F47" s="148" t="s">
        <v>115</v>
      </c>
      <c r="G47" s="96">
        <v>31</v>
      </c>
      <c r="H47" s="147">
        <v>0.53472222222222165</v>
      </c>
      <c r="I47" s="148" t="s">
        <v>115</v>
      </c>
      <c r="J47" s="96">
        <v>48</v>
      </c>
      <c r="K47" s="147">
        <v>0.62847222222222132</v>
      </c>
      <c r="L47" s="148" t="s">
        <v>120</v>
      </c>
      <c r="M47" s="96">
        <v>9</v>
      </c>
      <c r="N47" s="147">
        <v>0.39791666666666659</v>
      </c>
      <c r="O47" s="148" t="s">
        <v>118</v>
      </c>
      <c r="P47" s="160">
        <v>51</v>
      </c>
      <c r="Q47" s="147">
        <v>0.67708333333333226</v>
      </c>
      <c r="R47" s="177" t="s">
        <v>163</v>
      </c>
      <c r="S47" s="96">
        <v>7</v>
      </c>
      <c r="T47" s="96" t="s">
        <v>117</v>
      </c>
      <c r="U47" s="147">
        <v>0.59374999999999989</v>
      </c>
      <c r="V47" s="149">
        <v>1.5972222222221388E-2</v>
      </c>
    </row>
    <row r="48" spans="1:22" x14ac:dyDescent="0.65">
      <c r="A48" s="137">
        <v>46</v>
      </c>
      <c r="B48" s="96">
        <f>IFERROR(_xlfn.XLOOKUP(TimeTable[[#This Row],[מס"ד]],TeamList[מס"ד],TeamList[מס'' הקבוצה]),"")</f>
        <v>2130</v>
      </c>
      <c r="C48" s="146" t="str">
        <f>IFERROR(_xlfn.XLOOKUP(TimeTable[[#This Row],[מס"ד]],TeamList[מס"ד],TeamList[שם הקבוצה]),"")</f>
        <v xml:space="preserve">צודות </v>
      </c>
      <c r="D48" s="96">
        <v>22</v>
      </c>
      <c r="E48" s="147">
        <v>0.47222222222222182</v>
      </c>
      <c r="F48" s="148" t="s">
        <v>119</v>
      </c>
      <c r="G48" s="96">
        <v>32</v>
      </c>
      <c r="H48" s="147">
        <v>0.53819444444444386</v>
      </c>
      <c r="I48" s="148" t="s">
        <v>119</v>
      </c>
      <c r="J48" s="96">
        <v>48</v>
      </c>
      <c r="K48" s="147">
        <v>0.62847222222222132</v>
      </c>
      <c r="L48" s="148" t="s">
        <v>119</v>
      </c>
      <c r="M48" s="96">
        <v>10</v>
      </c>
      <c r="N48" s="147">
        <v>0.40208333333333324</v>
      </c>
      <c r="O48" s="148" t="s">
        <v>122</v>
      </c>
      <c r="P48" s="160">
        <v>52</v>
      </c>
      <c r="Q48" s="147">
        <v>0.68055555555555447</v>
      </c>
      <c r="R48" s="177" t="s">
        <v>176</v>
      </c>
      <c r="S48" s="96">
        <v>7</v>
      </c>
      <c r="T48" s="96" t="s">
        <v>118</v>
      </c>
      <c r="U48" s="147">
        <v>0.59374999999999989</v>
      </c>
      <c r="V48" s="149">
        <v>1.5972222222221388E-2</v>
      </c>
    </row>
    <row r="49" spans="1:23" x14ac:dyDescent="0.65">
      <c r="A49" s="137">
        <v>47</v>
      </c>
      <c r="B49" s="96">
        <f>IFERROR(_xlfn.XLOOKUP(TimeTable[[#This Row],[מס"ד]],TeamList[מס"ד],TeamList[מס'' הקבוצה]),"")</f>
        <v>2843</v>
      </c>
      <c r="C49" s="146" t="str">
        <f>IFERROR(_xlfn.XLOOKUP(TimeTable[[#This Row],[מס"ד]],TeamList[מס"ד],TeamList[שם הקבוצה]),"")</f>
        <v xml:space="preserve">בארי </v>
      </c>
      <c r="D49" s="96">
        <v>21</v>
      </c>
      <c r="E49" s="147">
        <v>0.46874999999999961</v>
      </c>
      <c r="F49" s="148" t="s">
        <v>116</v>
      </c>
      <c r="G49" s="96">
        <v>33</v>
      </c>
      <c r="H49" s="147">
        <v>0.54166666666666607</v>
      </c>
      <c r="I49" s="148" t="s">
        <v>115</v>
      </c>
      <c r="J49" s="96">
        <v>48</v>
      </c>
      <c r="K49" s="147">
        <v>0.62847222222222132</v>
      </c>
      <c r="L49" s="148" t="s">
        <v>122</v>
      </c>
      <c r="M49" s="96">
        <v>11</v>
      </c>
      <c r="N49" s="147">
        <v>0.40624999999999994</v>
      </c>
      <c r="O49" s="148" t="s">
        <v>118</v>
      </c>
      <c r="P49" s="160">
        <v>53</v>
      </c>
      <c r="Q49" s="147">
        <v>0.68749999999999889</v>
      </c>
      <c r="R49" s="177" t="s">
        <v>163</v>
      </c>
      <c r="S49" s="96">
        <v>7</v>
      </c>
      <c r="T49" s="96" t="s">
        <v>119</v>
      </c>
      <c r="U49" s="147">
        <v>0.59374999999999989</v>
      </c>
      <c r="V49" s="149">
        <v>1.5972222222221388E-2</v>
      </c>
    </row>
    <row r="50" spans="1:23" x14ac:dyDescent="0.65">
      <c r="A50" s="137">
        <v>48</v>
      </c>
      <c r="B50" s="96">
        <f>IFERROR(_xlfn.XLOOKUP(TimeTable[[#This Row],[מס"ד]],TeamList[מס"ד],TeamList[מס'' הקבוצה]),"")</f>
        <v>1720</v>
      </c>
      <c r="C50" s="146" t="str">
        <f>IFERROR(_xlfn.XLOOKUP(TimeTable[[#This Row],[מס"ד]],TeamList[מס"ד],TeamList[שם הקבוצה]),"")</f>
        <v>אגרון</v>
      </c>
      <c r="D50" s="96">
        <v>22</v>
      </c>
      <c r="E50" s="147">
        <v>0.47222222222222182</v>
      </c>
      <c r="F50" s="148" t="s">
        <v>120</v>
      </c>
      <c r="G50" s="96">
        <v>36</v>
      </c>
      <c r="H50" s="147">
        <v>0.5520833333333327</v>
      </c>
      <c r="I50" s="148" t="s">
        <v>119</v>
      </c>
      <c r="J50" s="96">
        <v>48</v>
      </c>
      <c r="K50" s="147">
        <v>0.62847222222222132</v>
      </c>
      <c r="L50" s="148" t="s">
        <v>121</v>
      </c>
      <c r="M50" s="96">
        <v>12</v>
      </c>
      <c r="N50" s="147">
        <v>0.4104166666666666</v>
      </c>
      <c r="O50" s="148" t="s">
        <v>122</v>
      </c>
      <c r="P50" s="160">
        <v>54</v>
      </c>
      <c r="Q50" s="147">
        <v>0.6909722222222211</v>
      </c>
      <c r="R50" s="177" t="s">
        <v>176</v>
      </c>
      <c r="S50" s="96">
        <v>7</v>
      </c>
      <c r="T50" s="96" t="s">
        <v>120</v>
      </c>
      <c r="U50" s="147">
        <v>0.59374999999999989</v>
      </c>
      <c r="V50" s="149">
        <v>1.5972222222221388E-2</v>
      </c>
    </row>
    <row r="51" spans="1:23" x14ac:dyDescent="0.65">
      <c r="A51" s="137">
        <v>49</v>
      </c>
      <c r="B51" s="96" t="str">
        <f>IFERROR(_xlfn.XLOOKUP(TimeTable[[#This Row],[מס"ד]],TeamList[מס"ד],TeamList[מס'' הקבוצה]),"")</f>
        <v/>
      </c>
      <c r="C51" s="146" t="str">
        <f>IFERROR(_xlfn.XLOOKUP(TimeTable[[#This Row],[מס"ד]],TeamList[מס"ד],TeamList[שם הקבוצה]),"")</f>
        <v/>
      </c>
      <c r="E51" s="147"/>
      <c r="F51" s="148"/>
      <c r="H51" s="147"/>
      <c r="I51" s="148"/>
      <c r="K51" s="147"/>
      <c r="L51" s="148"/>
      <c r="N51" s="147"/>
      <c r="O51" s="148"/>
      <c r="P51" s="160"/>
      <c r="Q51" s="147"/>
      <c r="R51" s="177"/>
      <c r="T51" s="96"/>
      <c r="U51" s="147"/>
      <c r="V51" s="149"/>
    </row>
    <row r="52" spans="1:23" x14ac:dyDescent="0.65">
      <c r="A52" s="137">
        <v>50</v>
      </c>
      <c r="B52" s="96" t="str">
        <f>IFERROR(_xlfn.XLOOKUP(TimeTable[[#This Row],[מס"ד]],TeamList[מס"ד],TeamList[מס'' הקבוצה]),"")</f>
        <v/>
      </c>
      <c r="C52" s="146" t="str">
        <f>IFERROR(_xlfn.XLOOKUP(TimeTable[[#This Row],[מס"ד]],TeamList[מס"ד],TeamList[שם הקבוצה]),"")</f>
        <v/>
      </c>
      <c r="E52" s="147"/>
      <c r="F52" s="148"/>
      <c r="H52" s="147"/>
      <c r="I52" s="148"/>
      <c r="J52" s="154"/>
      <c r="K52" s="147"/>
      <c r="L52" s="148"/>
      <c r="N52" s="147"/>
      <c r="O52" s="148"/>
      <c r="P52" s="160"/>
      <c r="Q52" s="147"/>
      <c r="R52" s="177"/>
      <c r="T52" s="96"/>
      <c r="U52" s="147"/>
      <c r="V52" s="149"/>
    </row>
    <row r="53" spans="1:23" x14ac:dyDescent="0.65">
      <c r="A53" s="137">
        <v>51</v>
      </c>
      <c r="B53" s="96" t="str">
        <f>IFERROR(_xlfn.XLOOKUP(TimeTable[[#This Row],[מס"ד]],TeamList[מס"ד],TeamList[מס'' הקבוצה]),"")</f>
        <v/>
      </c>
      <c r="C53" s="146" t="str">
        <f>IFERROR(_xlfn.XLOOKUP(TimeTable[[#This Row],[מס"ד]],TeamList[מס"ד],TeamList[שם הקבוצה]),"")</f>
        <v/>
      </c>
      <c r="E53" s="147"/>
      <c r="F53" s="148"/>
      <c r="H53" s="147"/>
      <c r="I53" s="148"/>
      <c r="K53" s="147"/>
      <c r="L53" s="148"/>
      <c r="N53" s="147"/>
      <c r="O53" s="148"/>
      <c r="P53" s="160"/>
      <c r="Q53" s="147"/>
      <c r="R53" s="177"/>
      <c r="T53" s="96"/>
      <c r="U53" s="147"/>
      <c r="V53" s="149"/>
    </row>
    <row r="54" spans="1:23" x14ac:dyDescent="0.65">
      <c r="A54" s="137">
        <v>52</v>
      </c>
      <c r="B54" s="96" t="str">
        <f>IFERROR(_xlfn.XLOOKUP(TimeTable[[#This Row],[מס"ד]],TeamList[מס"ד],TeamList[מס'' הקבוצה]),"")</f>
        <v/>
      </c>
      <c r="C54" s="146" t="str">
        <f>IFERROR(_xlfn.XLOOKUP(TimeTable[[#This Row],[מס"ד]],TeamList[מס"ד],TeamList[שם הקבוצה]),"")</f>
        <v/>
      </c>
      <c r="E54" s="147"/>
      <c r="F54" s="148"/>
      <c r="H54" s="147"/>
      <c r="I54" s="148"/>
      <c r="K54" s="147"/>
      <c r="L54" s="148"/>
      <c r="N54" s="147"/>
      <c r="O54" s="148"/>
      <c r="P54" s="160"/>
      <c r="Q54" s="147"/>
      <c r="R54" s="177"/>
      <c r="T54" s="96"/>
      <c r="U54" s="147"/>
      <c r="V54" s="149"/>
    </row>
    <row r="55" spans="1:23" x14ac:dyDescent="0.65">
      <c r="A55" s="137">
        <v>53</v>
      </c>
      <c r="B55" s="96" t="str">
        <f>IFERROR(_xlfn.XLOOKUP(TimeTable[[#This Row],[מס"ד]],TeamList[מס"ד],TeamList[מס'' הקבוצה]),"")</f>
        <v/>
      </c>
      <c r="C55" s="146" t="str">
        <f>IFERROR(_xlfn.XLOOKUP(TimeTable[[#This Row],[מס"ד]],TeamList[מס"ד],TeamList[שם הקבוצה]),"")</f>
        <v/>
      </c>
      <c r="E55" s="147"/>
      <c r="F55" s="148"/>
      <c r="H55" s="147"/>
      <c r="I55" s="148"/>
      <c r="K55" s="147"/>
      <c r="L55" s="148"/>
      <c r="N55" s="147"/>
      <c r="O55" s="148"/>
      <c r="P55" s="160"/>
      <c r="Q55" s="147"/>
      <c r="R55" s="177"/>
      <c r="T55" s="96"/>
      <c r="U55" s="147"/>
      <c r="V55" s="149"/>
    </row>
    <row r="56" spans="1:23" x14ac:dyDescent="0.65">
      <c r="A56" s="137">
        <v>54</v>
      </c>
      <c r="B56" s="96" t="str">
        <f>IFERROR(_xlfn.XLOOKUP(TimeTable[[#This Row],[מס"ד]],TeamList[מס"ד],TeamList[מס'' הקבוצה]),"")</f>
        <v/>
      </c>
      <c r="C56" s="146" t="str">
        <f>IFERROR(_xlfn.XLOOKUP(TimeTable[[#This Row],[מס"ד]],TeamList[מס"ד],TeamList[שם הקבוצה]),"")</f>
        <v/>
      </c>
      <c r="E56" s="147"/>
      <c r="F56" s="148"/>
      <c r="H56" s="147"/>
      <c r="I56" s="148"/>
      <c r="K56" s="147"/>
      <c r="L56" s="148"/>
      <c r="N56" s="147"/>
      <c r="O56" s="148"/>
      <c r="P56" s="160"/>
      <c r="Q56" s="147"/>
      <c r="R56" s="177"/>
      <c r="T56" s="96"/>
      <c r="U56" s="147"/>
      <c r="V56" s="149"/>
    </row>
    <row r="57" spans="1:23" x14ac:dyDescent="0.65">
      <c r="A57" s="137">
        <v>55</v>
      </c>
      <c r="B57" s="96" t="str">
        <f>IFERROR(_xlfn.XLOOKUP(TimeTable[[#This Row],[מס"ד]],TeamList[מס"ד],TeamList[מס'' הקבוצה]),"")</f>
        <v/>
      </c>
      <c r="C57" s="146" t="str">
        <f>IFERROR(_xlfn.XLOOKUP(TimeTable[[#This Row],[מס"ד]],TeamList[מס"ד],TeamList[שם הקבוצה]),"")</f>
        <v/>
      </c>
      <c r="E57" s="147"/>
      <c r="F57" s="148"/>
      <c r="H57" s="147"/>
      <c r="I57" s="148"/>
      <c r="K57" s="147"/>
      <c r="L57" s="148"/>
      <c r="N57" s="147"/>
      <c r="O57" s="148"/>
      <c r="P57" s="160"/>
      <c r="Q57" s="147"/>
      <c r="R57" s="177"/>
      <c r="T57" s="96"/>
      <c r="U57" s="147"/>
      <c r="V57" s="149"/>
    </row>
    <row r="58" spans="1:23" x14ac:dyDescent="0.65">
      <c r="A58" s="137">
        <v>56</v>
      </c>
      <c r="B58" s="96" t="str">
        <f>IFERROR(_xlfn.XLOOKUP(TimeTable[[#This Row],[מס"ד]],TeamList[מס"ד],TeamList[מס'' הקבוצה]),"")</f>
        <v/>
      </c>
      <c r="C58" s="146" t="str">
        <f>IFERROR(_xlfn.XLOOKUP(TimeTable[[#This Row],[מס"ד]],TeamList[מס"ד],TeamList[שם הקבוצה]),"")</f>
        <v/>
      </c>
      <c r="E58" s="147"/>
      <c r="F58" s="148"/>
      <c r="H58" s="147"/>
      <c r="I58" s="148"/>
      <c r="K58" s="147"/>
      <c r="L58" s="148"/>
      <c r="N58" s="147"/>
      <c r="O58" s="148"/>
      <c r="P58" s="160"/>
      <c r="Q58" s="147"/>
      <c r="R58" s="177"/>
      <c r="T58" s="96"/>
      <c r="U58" s="147"/>
      <c r="V58" s="149"/>
    </row>
    <row r="59" spans="1:23" x14ac:dyDescent="0.65">
      <c r="A59" s="137"/>
      <c r="C59" s="156"/>
      <c r="D59" s="157"/>
      <c r="E59" s="147"/>
      <c r="F59" s="148"/>
      <c r="G59" s="158"/>
      <c r="H59" s="147"/>
      <c r="I59" s="159"/>
      <c r="J59" s="158"/>
      <c r="K59" s="147"/>
      <c r="L59" s="148"/>
      <c r="M59" s="160"/>
      <c r="N59" s="148"/>
      <c r="O59" s="148"/>
      <c r="P59" s="158"/>
      <c r="Q59" s="147"/>
      <c r="R59" s="148"/>
      <c r="S59" s="160"/>
      <c r="T59" s="157"/>
      <c r="U59" s="147"/>
      <c r="V59" s="149">
        <f>MIN(TimeTable[זמן מינימום בין האירועים])</f>
        <v>1.2499999999999178E-2</v>
      </c>
      <c r="W59" s="79"/>
    </row>
    <row r="60" spans="1:23" x14ac:dyDescent="0.65">
      <c r="A60" s="137"/>
      <c r="D60" s="157"/>
      <c r="E60" s="149"/>
      <c r="F60" s="96"/>
      <c r="G60" s="157"/>
      <c r="H60" s="149"/>
      <c r="I60" s="161"/>
      <c r="J60" s="157"/>
      <c r="K60" s="149"/>
      <c r="L60" s="96"/>
      <c r="N60" s="149"/>
      <c r="O60" s="96"/>
      <c r="P60" s="157"/>
      <c r="Q60" s="149"/>
      <c r="R60" s="96"/>
      <c r="T60" s="157"/>
      <c r="U60" s="149"/>
      <c r="V60" s="149"/>
      <c r="W60" s="79"/>
    </row>
    <row r="61" spans="1:23" ht="14.5" x14ac:dyDescent="0.65">
      <c r="B61" s="96" t="s">
        <v>74</v>
      </c>
      <c r="C61" s="71" t="s">
        <v>55</v>
      </c>
      <c r="D61" s="96" t="s">
        <v>30</v>
      </c>
      <c r="E61" s="157" t="s">
        <v>36</v>
      </c>
      <c r="F61" s="96" t="s">
        <v>56</v>
      </c>
      <c r="G61" s="96" t="s">
        <v>57</v>
      </c>
      <c r="I61" s="162" t="s">
        <v>25</v>
      </c>
      <c r="J61" s="161">
        <f>_xlfn.XLOOKUP(N,break_scheduler['# of teams],break_scheduler[Opening Ceremony])</f>
        <v>0.41666666666666669</v>
      </c>
      <c r="L61" s="71" t="s">
        <v>55</v>
      </c>
      <c r="M61" s="96" t="s">
        <v>30</v>
      </c>
      <c r="N61" s="157" t="s">
        <v>36</v>
      </c>
      <c r="O61" s="96" t="s">
        <v>56</v>
      </c>
      <c r="P61" s="96" t="s">
        <v>57</v>
      </c>
      <c r="S61" s="163" t="s">
        <v>55</v>
      </c>
      <c r="T61" s="96" t="s">
        <v>58</v>
      </c>
      <c r="U61" s="157" t="s">
        <v>36</v>
      </c>
      <c r="V61" s="96" t="s">
        <v>70</v>
      </c>
    </row>
    <row r="62" spans="1:23" ht="14.5" x14ac:dyDescent="0.65">
      <c r="A62" s="96">
        <v>1</v>
      </c>
      <c r="B62" s="154">
        <v>1</v>
      </c>
      <c r="C62" s="154">
        <f t="array" ref="C62">IFERROR(INDEX(TimeTable[מס"ד],MATCH(MatchSequence[[#This Row],[מקצה]]&amp;MatchSequence[[#This Row],[שולחן]],TimeTable[מס'' הרצה 1]&amp;TimeTable[שולחן הרצה 1],0)),"")</f>
        <v>27</v>
      </c>
      <c r="D62" s="154">
        <f>_xlfn.XLOOKUP(N,break_scheduler['# of teams],break_scheduler[Round matches])*MatchSequence[[#This Row],[Round]]+1</f>
        <v>13</v>
      </c>
      <c r="E62" s="164">
        <f>start_round_I-TIME(0,0,0.1)</f>
        <v>0.44097222222222221</v>
      </c>
      <c r="F62" s="154" t="str">
        <f>_xlfn.XLOOKUP($Q62-(ROUNDUP(A62/2,0)-1)*8,Table_names[מסד],Table_names[שם מלא])</f>
        <v>1 אדום</v>
      </c>
      <c r="G62" s="154">
        <f>IFERROR(_xlfn.XLOOKUP(MatchSequence[[#This Row],[מס"ד]],TeamList[מס"ד],TeamList[מס'' הקבוצה]),"")</f>
        <v>240</v>
      </c>
      <c r="I62" s="162" t="s">
        <v>95</v>
      </c>
      <c r="J62" s="161">
        <f>_xlfn.XLOOKUP(N,break_scheduler['# of teams],break_scheduler[Practice start])</f>
        <v>0.36458333333333331</v>
      </c>
      <c r="L62" s="154" cm="1">
        <f t="array" ref="L62">IFERROR(INDEX(TimeTable[מס"ד],MATCH(PracticeSequence[[#This Row],[מקצה]]&amp;PracticeSequence[[#This Row],[שולחן]],TimeTable[מס'' הרצת אימון]&amp;TimeTable[שולחן הרצת אימון],0)),"")</f>
        <v>8</v>
      </c>
      <c r="M62" s="154">
        <v>1</v>
      </c>
      <c r="N62" s="164">
        <f>START</f>
        <v>0.36458333333333331</v>
      </c>
      <c r="O62" s="96" t="str">
        <f>_xlfn.XLOOKUP($Q62-(ROUNDUP(PracticeSequence[[#This Row],[מקצה]]/2,0)-1)*8,Table_names[מסד],Table_names[שם מלא])</f>
        <v>1 אדום</v>
      </c>
      <c r="P62" s="154">
        <f>IFERROR(_xlfn.XLOOKUP(PracticeSequence[[#This Row],[מס"ד]],TeamList[מס"ד],TeamList[מס'' הקבוצה]),"")</f>
        <v>2978</v>
      </c>
      <c r="Q62" s="137">
        <v>1</v>
      </c>
      <c r="R62" s="71"/>
      <c r="S62" s="154">
        <v>1</v>
      </c>
      <c r="T62" s="154">
        <v>1</v>
      </c>
      <c r="U62" s="164">
        <f>_xlfn.XLOOKUP(JudgingSequence[[#This Row],[מס"ד]],TimeTable[מס"ד],TimeTable[שעת שיפוט])</f>
        <v>0.36458333333333331</v>
      </c>
      <c r="V62" s="165">
        <v>0</v>
      </c>
      <c r="W62" s="137">
        <v>1</v>
      </c>
    </row>
    <row r="63" spans="1:23" ht="14.5" x14ac:dyDescent="0.65">
      <c r="A63" s="96">
        <v>1</v>
      </c>
      <c r="B63" s="154">
        <v>1</v>
      </c>
      <c r="C63" s="154">
        <f t="array" ref="C63">IFERROR(INDEX(TimeTable[מס"ד],MATCH(MatchSequence[[#This Row],[מקצה]]&amp;MatchSequence[[#This Row],[שולחן]],TimeTable[מס'' הרצה 1]&amp;TimeTable[שולחן הרצה 1],0)),"")</f>
        <v>29</v>
      </c>
      <c r="D63" s="154">
        <f>INT((COUNTA($D$62:D62))/4)+$D$62</f>
        <v>13</v>
      </c>
      <c r="E63" s="164">
        <f>IF(OR(MatchSequence[[#This Row],[שולחן]]=$AA$3,MatchSequence[[#This Row],[שולחן]]=$AA$7),E62+ORM,E62)-TIME(0,0,0.1)</f>
        <v>0.44097222222222221</v>
      </c>
      <c r="F63" s="154" t="str">
        <f>_xlfn.XLOOKUP($Q63-(ROUNDUP(A63/2,0)-1)*8,Table_names[מסד],Table_names[שם מלא])</f>
        <v>2 אדום</v>
      </c>
      <c r="G63" s="154">
        <f>IFERROR(_xlfn.XLOOKUP(MatchSequence[[#This Row],[מס"ד]],TeamList[מס"ד],TeamList[מס'' הקבוצה]),"")</f>
        <v>1333</v>
      </c>
      <c r="I63" s="162" t="s">
        <v>61</v>
      </c>
      <c r="J63" s="161">
        <v>1.8749999999999999E-2</v>
      </c>
      <c r="L63" s="154" cm="1">
        <f t="array" ref="L63">IFERROR(INDEX(TimeTable[מס"ד],MATCH(PracticeSequence[[#This Row],[מקצה]]&amp;PracticeSequence[[#This Row],[שולחן]],TimeTable[מס'' הרצת אימון]&amp;TimeTable[שולחן הרצת אימון],0)),"")</f>
        <v>12</v>
      </c>
      <c r="M63" s="154">
        <f>INT((COUNTA($M$62:M62))/4)+1</f>
        <v>1</v>
      </c>
      <c r="N63" s="164">
        <f>IF(OR(PracticeSequence[[#This Row],[שולחן]]=$AA$3,PracticeSequence[[#This Row],[שולחן]]=$AA$7),N62+PM,N62)</f>
        <v>0.36458333333333331</v>
      </c>
      <c r="O63" s="154" t="str">
        <f>_xlfn.XLOOKUP($Q63-(ROUNDUP(PracticeSequence[[#This Row],[מקצה]]/2,0)-1)*8,Table_names[מסד],Table_names[שם מלא])</f>
        <v>2 אדום</v>
      </c>
      <c r="P63" s="154">
        <f>IFERROR(_xlfn.XLOOKUP(PracticeSequence[[#This Row],[מס"ד]],TeamList[מס"ד],TeamList[מס'' הקבוצה]),"")</f>
        <v>515</v>
      </c>
      <c r="Q63" s="137">
        <v>2</v>
      </c>
      <c r="R63" s="71"/>
      <c r="S63" s="154">
        <f>IFERROR(IF(_xlfn.XLOOKUP(S62+1,TimeTable[מס"ד],TimeTable[מס'' הקבוצה])=9999,"",S62+1),"")</f>
        <v>2</v>
      </c>
      <c r="T63" s="154">
        <f t="shared" ref="T63:T109" si="0">IF(T62=ROOMS,1,T62+1)</f>
        <v>2</v>
      </c>
      <c r="U63" s="164">
        <f>_xlfn.XLOOKUP(JudgingSequence[[#This Row],[מס"ד]],TimeTable[מס"ד],TimeTable[שעת שיפוט])</f>
        <v>0.36458333333333331</v>
      </c>
      <c r="V63" s="165">
        <f>IF(JudgingSequence[[#This Row],[חדר]]&gt;1,V62,V62+1)</f>
        <v>0</v>
      </c>
      <c r="W63" s="137">
        <v>2</v>
      </c>
    </row>
    <row r="64" spans="1:23" x14ac:dyDescent="0.65">
      <c r="A64" s="96">
        <v>1</v>
      </c>
      <c r="B64" s="154">
        <v>1</v>
      </c>
      <c r="C64" s="154">
        <f t="array" ref="C64">IFERROR(INDEX(TimeTable[מס"ד],MATCH(MatchSequence[[#This Row],[מקצה]]&amp;MatchSequence[[#This Row],[שולחן]],TimeTable[מס'' הרצה 1]&amp;TimeTable[שולחן הרצה 1],0)),"")</f>
        <v>23</v>
      </c>
      <c r="D64" s="154">
        <f>INT((COUNTA($D$62:D63))/4)+$D$62</f>
        <v>13</v>
      </c>
      <c r="E64" s="164">
        <f>IF(OR(MatchSequence[[#This Row],[שולחן]]=$AA$3,MatchSequence[[#This Row],[שולחן]]=$AA$7),E63+ORM,E63)-TIME(0,0,0.1)</f>
        <v>0.44097222222222221</v>
      </c>
      <c r="F64" s="154" t="str">
        <f>_xlfn.XLOOKUP($Q64-(ROUNDUP(A64/2,0)-1)*8,Table_names[מסד],Table_names[שם מלא])</f>
        <v>3 אדום</v>
      </c>
      <c r="G64" s="154">
        <f>IFERROR(_xlfn.XLOOKUP(MatchSequence[[#This Row],[מס"ד]],TeamList[מס"ד],TeamList[מס'' הקבוצה]),"")</f>
        <v>1152</v>
      </c>
      <c r="I64" s="166" t="s">
        <v>60</v>
      </c>
      <c r="J64" s="161">
        <f>JR</f>
        <v>3.125E-2</v>
      </c>
      <c r="L64" s="154" cm="1">
        <f t="array" ref="L64">IFERROR(INDEX(TimeTable[מס"ד],MATCH(PracticeSequence[[#This Row],[מקצה]]&amp;PracticeSequence[[#This Row],[שולחן]],TimeTable[מס'' הרצת אימון]&amp;TimeTable[שולחן הרצת אימון],0)),"")</f>
        <v>17</v>
      </c>
      <c r="M64" s="154">
        <f>INT((COUNTA($M$62:M63))/4)+1</f>
        <v>1</v>
      </c>
      <c r="N64" s="164">
        <f>IF(OR(PracticeSequence[[#This Row],[שולחן]]=$AA$3,PracticeSequence[[#This Row],[שולחן]]=$AA$7),N63+PM,N63)</f>
        <v>0.36458333333333331</v>
      </c>
      <c r="O64" s="96" t="str">
        <f>_xlfn.XLOOKUP($Q64-(ROUNDUP(PracticeSequence[[#This Row],[מקצה]]/2,0)-1)*8,Table_names[מסד],Table_names[שם מלא])</f>
        <v>3 אדום</v>
      </c>
      <c r="P64" s="154">
        <f>IFERROR(_xlfn.XLOOKUP(PracticeSequence[[#This Row],[מס"ד]],TeamList[מס"ד],TeamList[מס'' הקבוצה]),"")</f>
        <v>1083</v>
      </c>
      <c r="Q64" s="137">
        <v>3</v>
      </c>
      <c r="R64" s="71"/>
      <c r="S64" s="154">
        <f>IFERROR(IF(_xlfn.XLOOKUP(S63+1,TimeTable[מס"ד],TimeTable[מס'' הקבוצה])=9999,"",S63+1),"")</f>
        <v>3</v>
      </c>
      <c r="T64" s="154">
        <f t="shared" si="0"/>
        <v>3</v>
      </c>
      <c r="U64" s="164">
        <f>_xlfn.XLOOKUP(JudgingSequence[[#This Row],[מס"ד]],TimeTable[מס"ד],TimeTable[שעת שיפוט])</f>
        <v>0.36458333333333331</v>
      </c>
      <c r="V64" s="165">
        <f>IF(JudgingSequence[[#This Row],[חדר]]&gt;1,V63,V63+1)</f>
        <v>0</v>
      </c>
      <c r="W64" s="137">
        <v>3</v>
      </c>
    </row>
    <row r="65" spans="1:25" x14ac:dyDescent="0.65">
      <c r="A65" s="96">
        <v>1</v>
      </c>
      <c r="B65" s="154">
        <v>1</v>
      </c>
      <c r="C65" s="154">
        <f t="array" ref="C65">IFERROR(INDEX(TimeTable[מס"ד],MATCH(MatchSequence[[#This Row],[מקצה]]&amp;MatchSequence[[#This Row],[שולחן]],TimeTable[מס'' הרצה 1]&amp;TimeTable[שולחן הרצה 1],0)),"")</f>
        <v>25</v>
      </c>
      <c r="D65" s="154">
        <f>INT((COUNTA($D$62:D64))/4)+$D$62</f>
        <v>13</v>
      </c>
      <c r="E65" s="164">
        <f>IF(OR(MatchSequence[[#This Row],[שולחן]]=$AA$3,MatchSequence[[#This Row],[שולחן]]=$AA$7),E64+ORM,E64)-TIME(0,0,0.1)</f>
        <v>0.44097222222222221</v>
      </c>
      <c r="F65" s="154" t="str">
        <f>_xlfn.XLOOKUP($Q65-(ROUNDUP(A65/2,0)-1)*8,Table_names[מסד],Table_names[שם מלא])</f>
        <v>4 אדום</v>
      </c>
      <c r="G65" s="154">
        <f>IFERROR(_xlfn.XLOOKUP(MatchSequence[[#This Row],[מס"ד]],TeamList[מס"ד],TeamList[מס'' הקבוצה]),"")</f>
        <v>2840</v>
      </c>
      <c r="I65" s="167" t="s">
        <v>72</v>
      </c>
      <c r="J65" s="168">
        <v>6.9444444444444447E-4</v>
      </c>
      <c r="L65" s="154" cm="1">
        <f t="array" ref="L65">IFERROR(INDEX(TimeTable[מס"ד],MATCH(PracticeSequence[[#This Row],[מקצה]]&amp;PracticeSequence[[#This Row],[שולחן]],TimeTable[מס'' הרצת אימון]&amp;TimeTable[שולחן הרצת אימון],0)),"")</f>
        <v>21</v>
      </c>
      <c r="M65" s="154">
        <f>INT((COUNTA($M$62:M64))/4)+1</f>
        <v>1</v>
      </c>
      <c r="N65" s="164">
        <f>IF(OR(PracticeSequence[[#This Row],[שולחן]]=$AA$3,PracticeSequence[[#This Row],[שולחן]]=$AA$7),N64+PM,N64)</f>
        <v>0.36458333333333331</v>
      </c>
      <c r="O65" s="96" t="str">
        <f>_xlfn.XLOOKUP($Q65-(ROUNDUP(PracticeSequence[[#This Row],[מקצה]]/2,0)-1)*8,Table_names[מסד],Table_names[שם מלא])</f>
        <v>4 אדום</v>
      </c>
      <c r="P65" s="154">
        <f>IFERROR(_xlfn.XLOOKUP(PracticeSequence[[#This Row],[מס"ד]],TeamList[מס"ד],TeamList[מס'' הקבוצה]),"")</f>
        <v>3181</v>
      </c>
      <c r="Q65" s="137">
        <v>4</v>
      </c>
      <c r="R65" s="71"/>
      <c r="S65" s="154">
        <f>IFERROR(IF(_xlfn.XLOOKUP(S64+1,TimeTable[מס"ד],TimeTable[מס'' הקבוצה])=9999,"",S64+1),"")</f>
        <v>4</v>
      </c>
      <c r="T65" s="154">
        <f t="shared" si="0"/>
        <v>4</v>
      </c>
      <c r="U65" s="164">
        <f>_xlfn.XLOOKUP(JudgingSequence[[#This Row],[מס"ד]],TimeTable[מס"ד],TimeTable[שעת שיפוט])</f>
        <v>0.36458333333333331</v>
      </c>
      <c r="V65" s="165">
        <f>IF(JudgingSequence[[#This Row],[חדר]]&gt;1,V64,V64+1)</f>
        <v>0</v>
      </c>
      <c r="W65" s="137">
        <v>4</v>
      </c>
    </row>
    <row r="66" spans="1:25" x14ac:dyDescent="0.65">
      <c r="A66" s="96">
        <v>2</v>
      </c>
      <c r="B66" s="154">
        <v>1</v>
      </c>
      <c r="C66" s="154">
        <f t="array" ref="C66">IFERROR(INDEX(TimeTable[מס"ד],MATCH(MatchSequence[[#This Row],[מקצה]]&amp;MatchSequence[[#This Row],[שולחן]],TimeTable[מס'' הרצה 1]&amp;TimeTable[שולחן הרצה 1],0)),"")</f>
        <v>28</v>
      </c>
      <c r="D66" s="154">
        <f>INT((COUNTA($D$62:D65))/4)+$D$62</f>
        <v>14</v>
      </c>
      <c r="E66" s="164">
        <f>IF(OR(MatchSequence[[#This Row],[שולחן]]=$AA$3,MatchSequence[[#This Row],[שולחן]]=$AA$7),E65+ORM,E65)-TIME(0,0,0.1)</f>
        <v>0.44444444444444442</v>
      </c>
      <c r="F66" s="154" t="str">
        <f>_xlfn.XLOOKUP($Q66-(ROUNDUP(A66/2,0)-1)*8,Table_names[מסד],Table_names[שם מלא])</f>
        <v>5 אדום</v>
      </c>
      <c r="G66" s="154">
        <f>IFERROR(_xlfn.XLOOKUP(MatchSequence[[#This Row],[מס"ד]],TeamList[מס"ד],TeamList[מס'' הקבוצה]),"")</f>
        <v>1697</v>
      </c>
      <c r="I66" s="166" t="s">
        <v>62</v>
      </c>
      <c r="J66" s="168">
        <f>PM</f>
        <v>4.1666666666666666E-3</v>
      </c>
      <c r="L66" s="154" cm="1">
        <f t="array" ref="L66">IFERROR(INDEX(TimeTable[מס"ד],MATCH(PracticeSequence[[#This Row],[מקצה]]&amp;PracticeSequence[[#This Row],[שולחן]],TimeTable[מס'' הרצת אימון]&amp;TimeTable[שולחן הרצת אימון],0)),"")</f>
        <v>9</v>
      </c>
      <c r="M66" s="154">
        <f>INT((COUNTA($M$62:M65))/4)+1</f>
        <v>2</v>
      </c>
      <c r="N66" s="164">
        <f>IF(OR(PracticeSequence[[#This Row],[שולחן]]=$AA$3,PracticeSequence[[#This Row],[שולחן]]=$AA$7),N65+PM,N65)</f>
        <v>0.36874999999999997</v>
      </c>
      <c r="O66" s="96" t="str">
        <f>_xlfn.XLOOKUP($Q66-(ROUNDUP(PracticeSequence[[#This Row],[מקצה]]/2,0)-1)*8,Table_names[מסד],Table_names[שם מלא])</f>
        <v>5 אדום</v>
      </c>
      <c r="P66" s="154">
        <f>IFERROR(_xlfn.XLOOKUP(PracticeSequence[[#This Row],[מס"ד]],TeamList[מס"ד],TeamList[מס'' הקבוצה]),"")</f>
        <v>588</v>
      </c>
      <c r="Q66" s="137">
        <v>5</v>
      </c>
      <c r="R66" s="71"/>
      <c r="S66" s="154">
        <f>IFERROR(IF(_xlfn.XLOOKUP(S65+1,TimeTable[מס"ד],TimeTable[מס'' הקבוצה])=9999,"",S65+1),"")</f>
        <v>5</v>
      </c>
      <c r="T66" s="154">
        <f t="shared" si="0"/>
        <v>5</v>
      </c>
      <c r="U66" s="164">
        <f>_xlfn.XLOOKUP(JudgingSequence[[#This Row],[מס"ד]],TimeTable[מס"ד],TimeTable[שעת שיפוט])</f>
        <v>0.36458333333333331</v>
      </c>
      <c r="V66" s="165">
        <f>IF(JudgingSequence[[#This Row],[חדר]]&gt;1,V65,V65+1)</f>
        <v>0</v>
      </c>
      <c r="W66" s="137">
        <v>5</v>
      </c>
    </row>
    <row r="67" spans="1:25" x14ac:dyDescent="0.65">
      <c r="A67" s="96">
        <v>2</v>
      </c>
      <c r="B67" s="154">
        <v>1</v>
      </c>
      <c r="C67" s="154">
        <f t="array" ref="C67">IFERROR(INDEX(TimeTable[מס"ד],MATCH(MatchSequence[[#This Row],[מקצה]]&amp;MatchSequence[[#This Row],[שולחן]],TimeTable[מס'' הרצה 1]&amp;TimeTable[שולחן הרצה 1],0)),"")</f>
        <v>30</v>
      </c>
      <c r="D67" s="154">
        <f>INT((COUNTA($D$62:D66))/4)+$D$62</f>
        <v>14</v>
      </c>
      <c r="E67" s="164">
        <f>IF(OR(MatchSequence[[#This Row],[שולחן]]=$AA$3,MatchSequence[[#This Row],[שולחן]]=$AA$7),E66+ORM,E66)-TIME(0,0,0.1)</f>
        <v>0.44444444444444442</v>
      </c>
      <c r="F67" s="154" t="str">
        <f>_xlfn.XLOOKUP($Q67-(ROUNDUP(A67/2,0)-1)*8,Table_names[מסד],Table_names[שם מלא])</f>
        <v>6 אדום</v>
      </c>
      <c r="G67" s="154">
        <f>IFERROR(_xlfn.XLOOKUP(MatchSequence[[#This Row],[מס"ד]],TeamList[מס"ד],TeamList[מס'' הקבוצה]),"")</f>
        <v>662</v>
      </c>
      <c r="I67" s="166" t="s">
        <v>100</v>
      </c>
      <c r="J67" s="168">
        <f>ORM</f>
        <v>3.472222222222222E-3</v>
      </c>
      <c r="L67" s="154" cm="1">
        <f t="array" ref="L67">IFERROR(INDEX(TimeTable[מס"ד],MATCH(PracticeSequence[[#This Row],[מקצה]]&amp;PracticeSequence[[#This Row],[שולחן]],TimeTable[מס'' הרצת אימון]&amp;TimeTable[שולחן הרצת אימון],0)),"")</f>
        <v>13</v>
      </c>
      <c r="M67" s="154">
        <f>INT((COUNTA($M$62:M66))/4)+1</f>
        <v>2</v>
      </c>
      <c r="N67" s="164">
        <f>IF(OR(PracticeSequence[[#This Row],[שולחן]]=$AA$3,PracticeSequence[[#This Row],[שולחן]]=$AA$7),N66+PM,N66)</f>
        <v>0.36874999999999997</v>
      </c>
      <c r="O67" s="96" t="str">
        <f>_xlfn.XLOOKUP($Q67-(ROUNDUP(PracticeSequence[[#This Row],[מקצה]]/2,0)-1)*8,Table_names[מסד],Table_names[שם מלא])</f>
        <v>6 אדום</v>
      </c>
      <c r="P67" s="154">
        <f>IFERROR(_xlfn.XLOOKUP(PracticeSequence[[#This Row],[מס"ד]],TeamList[מס"ד],TeamList[מס'' הקבוצה]),"")</f>
        <v>3185</v>
      </c>
      <c r="Q67" s="137">
        <v>6</v>
      </c>
      <c r="R67" s="71"/>
      <c r="S67" s="154">
        <f>IFERROR(IF(_xlfn.XLOOKUP(S66+1,TimeTable[מס"ד],TimeTable[מס'' הקבוצה])=9999,"",S66+1),"")</f>
        <v>6</v>
      </c>
      <c r="T67" s="154">
        <f t="shared" si="0"/>
        <v>6</v>
      </c>
      <c r="U67" s="164">
        <f>_xlfn.XLOOKUP(JudgingSequence[[#This Row],[מס"ד]],TimeTable[מס"ד],TimeTable[שעת שיפוט])</f>
        <v>0.36458333333333331</v>
      </c>
      <c r="V67" s="165">
        <f>IF(JudgingSequence[[#This Row],[חדר]]&gt;1,V66,V66+1)</f>
        <v>0</v>
      </c>
      <c r="W67" s="137">
        <v>6</v>
      </c>
    </row>
    <row r="68" spans="1:25" x14ac:dyDescent="0.65">
      <c r="A68" s="96">
        <v>2</v>
      </c>
      <c r="B68" s="154">
        <v>1</v>
      </c>
      <c r="C68" s="154">
        <f t="array" ref="C68">IFERROR(INDEX(TimeTable[מס"ד],MATCH(MatchSequence[[#This Row],[מקצה]]&amp;MatchSequence[[#This Row],[שולחן]],TimeTable[מס'' הרצה 1]&amp;TimeTable[שולחן הרצה 1],0)),"")</f>
        <v>24</v>
      </c>
      <c r="D68" s="154">
        <f>INT((COUNTA($D$62:D67))/4)+$D$62</f>
        <v>14</v>
      </c>
      <c r="E68" s="164">
        <f>IF(OR(MatchSequence[[#This Row],[שולחן]]=$AA$3,MatchSequence[[#This Row],[שולחן]]=$AA$7),E67+ORM,E67)-TIME(0,0,0.1)</f>
        <v>0.44444444444444442</v>
      </c>
      <c r="F68" s="154" t="str">
        <f>_xlfn.XLOOKUP($Q68-(ROUNDUP(A68/2,0)-1)*8,Table_names[מסד],Table_names[שם מלא])</f>
        <v>7 אדום</v>
      </c>
      <c r="G68" s="154">
        <f>IFERROR(_xlfn.XLOOKUP(MatchSequence[[#This Row],[מס"ד]],TeamList[מס"ד],TeamList[מס'' הקבוצה]),"")</f>
        <v>1864</v>
      </c>
      <c r="I68" s="166"/>
      <c r="J68" s="168"/>
      <c r="L68" s="154" cm="1">
        <f t="array" ref="L68">IFERROR(INDEX(TimeTable[מס"ד],MATCH(PracticeSequence[[#This Row],[מקצה]]&amp;PracticeSequence[[#This Row],[שולחן]],TimeTable[מס'' הרצת אימון]&amp;TimeTable[שולחן הרצת אימון],0)),"")</f>
        <v>18</v>
      </c>
      <c r="M68" s="154">
        <f>INT((COUNTA($M$62:M67))/4)+1</f>
        <v>2</v>
      </c>
      <c r="N68" s="164">
        <f>IF(OR(PracticeSequence[[#This Row],[שולחן]]=$AA$3,PracticeSequence[[#This Row],[שולחן]]=$AA$7),N67+PM,N67)</f>
        <v>0.36874999999999997</v>
      </c>
      <c r="O68" s="96" t="str">
        <f>_xlfn.XLOOKUP($Q68-(ROUNDUP(PracticeSequence[[#This Row],[מקצה]]/2,0)-1)*8,Table_names[מסד],Table_names[שם מלא])</f>
        <v>7 אדום</v>
      </c>
      <c r="P68" s="154">
        <f>IFERROR(_xlfn.XLOOKUP(PracticeSequence[[#This Row],[מס"ד]],TeamList[מס"ד],TeamList[מס'' הקבוצה]),"")</f>
        <v>1043</v>
      </c>
      <c r="Q68" s="137">
        <v>7</v>
      </c>
      <c r="R68" s="71"/>
      <c r="S68" s="154">
        <f>IFERROR(IF(_xlfn.XLOOKUP(S67+1,TimeTable[מס"ד],TimeTable[מס'' הקבוצה])=9999,"",S67+1),"")</f>
        <v>7</v>
      </c>
      <c r="T68" s="154">
        <f t="shared" si="0"/>
        <v>7</v>
      </c>
      <c r="U68" s="164">
        <f>_xlfn.XLOOKUP(JudgingSequence[[#This Row],[מס"ד]],TimeTable[מס"ד],TimeTable[שעת שיפוט])</f>
        <v>0.36458333333333331</v>
      </c>
      <c r="V68" s="165">
        <f>IF(JudgingSequence[[#This Row],[חדר]]&gt;1,V67,V67+1)</f>
        <v>0</v>
      </c>
      <c r="W68" s="137">
        <v>7</v>
      </c>
    </row>
    <row r="69" spans="1:25" x14ac:dyDescent="0.65">
      <c r="A69" s="96">
        <v>2</v>
      </c>
      <c r="B69" s="154">
        <v>1</v>
      </c>
      <c r="C69" s="154">
        <f t="array" ref="C69">IFERROR(INDEX(TimeTable[מס"ד],MATCH(MatchSequence[[#This Row],[מקצה]]&amp;MatchSequence[[#This Row],[שולחן]],TimeTable[מס'' הרצה 1]&amp;TimeTable[שולחן הרצה 1],0)),"")</f>
        <v>26</v>
      </c>
      <c r="D69" s="154">
        <f>INT((COUNTA($D$62:D68))/4)+$D$62</f>
        <v>14</v>
      </c>
      <c r="E69" s="164">
        <f>IF(OR(MatchSequence[[#This Row],[שולחן]]=$AA$3,MatchSequence[[#This Row],[שולחן]]=$AA$7),E68+ORM,E68)-TIME(0,0,0.1)</f>
        <v>0.44444444444444442</v>
      </c>
      <c r="F69" s="154" t="str">
        <f>_xlfn.XLOOKUP($Q69-(ROUNDUP(A69/2,0)-1)*8,Table_names[מסד],Table_names[שם מלא])</f>
        <v>8 אדום</v>
      </c>
      <c r="G69" s="154">
        <f>IFERROR(_xlfn.XLOOKUP(MatchSequence[[#This Row],[מס"ד]],TeamList[מס"ד],TeamList[מס'' הקבוצה]),"")</f>
        <v>52</v>
      </c>
      <c r="I69" s="166" t="s">
        <v>73</v>
      </c>
      <c r="J69" s="96">
        <f>COUNTA(TeamList[מס"ד])</f>
        <v>48</v>
      </c>
      <c r="L69" s="154" cm="1">
        <f t="array" ref="L69">IFERROR(INDEX(TimeTable[מס"ד],MATCH(PracticeSequence[[#This Row],[מקצה]]&amp;PracticeSequence[[#This Row],[שולחן]],TimeTable[מס'' הרצת אימון]&amp;TimeTable[שולחן הרצת אימון],0)),"")</f>
        <v>22</v>
      </c>
      <c r="M69" s="154">
        <f>INT((COUNTA($M$62:M68))/4)+1</f>
        <v>2</v>
      </c>
      <c r="N69" s="164">
        <f>IF(OR(PracticeSequence[[#This Row],[שולחן]]=$AA$3,PracticeSequence[[#This Row],[שולחן]]=$AA$7),N68+PM,N68)</f>
        <v>0.36874999999999997</v>
      </c>
      <c r="O69" s="96" t="str">
        <f>_xlfn.XLOOKUP($Q69-(ROUNDUP(PracticeSequence[[#This Row],[מקצה]]/2,0)-1)*8,Table_names[מסד],Table_names[שם מלא])</f>
        <v>8 אדום</v>
      </c>
      <c r="P69" s="154">
        <f>IFERROR(_xlfn.XLOOKUP(PracticeSequence[[#This Row],[מס"ד]],TeamList[מס"ד],TeamList[מס'' הקבוצה]),"")</f>
        <v>3022</v>
      </c>
      <c r="Q69" s="137">
        <v>8</v>
      </c>
      <c r="R69" s="71"/>
      <c r="S69" s="154">
        <f>IFERROR(IF(_xlfn.XLOOKUP(S68+1,TimeTable[מס"ד],TimeTable[מס'' הקבוצה])=9999,"",S68+1),"")</f>
        <v>8</v>
      </c>
      <c r="T69" s="154">
        <f t="shared" si="0"/>
        <v>1</v>
      </c>
      <c r="U69" s="164">
        <f>_xlfn.XLOOKUP(JudgingSequence[[#This Row],[מס"ד]],TimeTable[מס"ד],TimeTable[שעת שיפוט])</f>
        <v>0.39583333333333331</v>
      </c>
      <c r="V69" s="165">
        <f>IF(JudgingSequence[[#This Row],[חדר]]&gt;1,V68,V68+1)</f>
        <v>1</v>
      </c>
      <c r="W69" s="137">
        <v>8</v>
      </c>
    </row>
    <row r="70" spans="1:25" x14ac:dyDescent="0.65">
      <c r="A70" s="96">
        <v>3</v>
      </c>
      <c r="B70" s="154">
        <v>1</v>
      </c>
      <c r="C70" s="154">
        <f t="array" ref="C70">IFERROR(INDEX(TimeTable[מס"ד],MATCH(MatchSequence[[#This Row],[מקצה]]&amp;MatchSequence[[#This Row],[שולחן]],TimeTable[מס'' הרצה 1]&amp;TimeTable[שולחן הרצה 1],0)),"")</f>
        <v>5</v>
      </c>
      <c r="D70" s="154">
        <f>INT((COUNTA($D$62:D69))/4)+$D$62</f>
        <v>15</v>
      </c>
      <c r="E70" s="164">
        <f>IF(OR(MatchSequence[[#This Row],[שולחן]]=$AA$3,MatchSequence[[#This Row],[שולחן]]=$AA$7),E69+ORM,E69)-TIME(0,0,0.1)</f>
        <v>0.44791666666666663</v>
      </c>
      <c r="F70" s="154" t="str">
        <f>_xlfn.XLOOKUP($Q70-(ROUNDUP(A70/2,0)-1)*8,Table_names[מסד],Table_names[שם מלא])</f>
        <v>1 אדום</v>
      </c>
      <c r="G70" s="154">
        <f>IFERROR(_xlfn.XLOOKUP(MatchSequence[[#This Row],[מס"ד]],TeamList[מס"ד],TeamList[מס'' הקבוצה]),"")</f>
        <v>3243</v>
      </c>
      <c r="I70" s="166" t="s">
        <v>66</v>
      </c>
      <c r="J70" s="149">
        <f>_xlfn.XLOOKUP(N,break_scheduler['# of teams],break_scheduler[Break 1])</f>
        <v>2.6388888888888889E-2</v>
      </c>
      <c r="L70" s="154" cm="1">
        <f t="array" ref="L70">IFERROR(INDEX(TimeTable[מס"ד],MATCH(PracticeSequence[[#This Row],[מקצה]]&amp;PracticeSequence[[#This Row],[שולחן]],TimeTable[מס'' הרצת אימון]&amp;TimeTable[שולחן הרצת אימון],0)),"")</f>
        <v>10</v>
      </c>
      <c r="M70" s="154">
        <f>INT((COUNTA($M$62:M69))/4)+1</f>
        <v>3</v>
      </c>
      <c r="N70" s="164">
        <f>IF(OR(PracticeSequence[[#This Row],[שולחן]]=$AA$3,PracticeSequence[[#This Row],[שולחן]]=$AA$7),N69+PM,N69)</f>
        <v>0.37291666666666662</v>
      </c>
      <c r="O70" s="96" t="str">
        <f>_xlfn.XLOOKUP($Q70-(ROUNDUP(PracticeSequence[[#This Row],[מקצה]]/2,0)-1)*8,Table_names[מסד],Table_names[שם מלא])</f>
        <v>1 אדום</v>
      </c>
      <c r="P70" s="154">
        <f>IFERROR(_xlfn.XLOOKUP(PracticeSequence[[#This Row],[מס"ד]],TeamList[מס"ד],TeamList[מס'' הקבוצה]),"")</f>
        <v>1371</v>
      </c>
      <c r="Q70" s="137">
        <v>9</v>
      </c>
      <c r="R70" s="71"/>
      <c r="S70" s="154">
        <f>IFERROR(IF(_xlfn.XLOOKUP(S69+1,TimeTable[מס"ד],TimeTable[מס'' הקבוצה])=9999,"",S69+1),"")</f>
        <v>9</v>
      </c>
      <c r="T70" s="154">
        <f t="shared" si="0"/>
        <v>2</v>
      </c>
      <c r="U70" s="164">
        <f>_xlfn.XLOOKUP(JudgingSequence[[#This Row],[מס"ד]],TimeTable[מס"ד],TimeTable[שעת שיפוט])</f>
        <v>0.39583333333333331</v>
      </c>
      <c r="V70" s="165">
        <f>IF(JudgingSequence[[#This Row],[חדר]]&gt;1,V69,V69+1)</f>
        <v>1</v>
      </c>
      <c r="W70" s="137">
        <v>9</v>
      </c>
    </row>
    <row r="71" spans="1:25" x14ac:dyDescent="0.65">
      <c r="A71" s="96">
        <v>3</v>
      </c>
      <c r="B71" s="154">
        <v>1</v>
      </c>
      <c r="C71" s="154">
        <f t="array" ref="C71">IFERROR(INDEX(TimeTable[מס"ד],MATCH(MatchSequence[[#This Row],[מקצה]]&amp;MatchSequence[[#This Row],[שולחן]],TimeTable[מס'' הרצה 1]&amp;TimeTable[שולחן הרצה 1],0)),"")</f>
        <v>31</v>
      </c>
      <c r="D71" s="154">
        <f>INT((COUNTA($D$62:D70))/4)+$D$62</f>
        <v>15</v>
      </c>
      <c r="E71" s="164">
        <f>IF(OR(MatchSequence[[#This Row],[שולחן]]=$AA$3,MatchSequence[[#This Row],[שולחן]]=$AA$7),E70+ORM,E70)-TIME(0,0,0.1)</f>
        <v>0.44791666666666663</v>
      </c>
      <c r="F71" s="154" t="str">
        <f>_xlfn.XLOOKUP($Q71-(ROUNDUP(A71/2,0)-1)*8,Table_names[מסד],Table_names[שם מלא])</f>
        <v>2 אדום</v>
      </c>
      <c r="G71" s="154">
        <f>IFERROR(_xlfn.XLOOKUP(MatchSequence[[#This Row],[מס"ד]],TeamList[מס"ד],TeamList[מס'' הקבוצה]),"")</f>
        <v>1301</v>
      </c>
      <c r="I71" s="166" t="s">
        <v>63</v>
      </c>
      <c r="J71" s="149" cm="1">
        <f t="array" ref="J71">_xlfn.XLOOKUP(N,break_scheduler['# of teams],break_scheduler[Round 1 start])</f>
        <v>0.44097222222222221</v>
      </c>
      <c r="L71" s="154" cm="1">
        <f t="array" ref="L71">IFERROR(INDEX(TimeTable[מס"ד],MATCH(PracticeSequence[[#This Row],[מקצה]]&amp;PracticeSequence[[#This Row],[שולחן]],TimeTable[מס'' הרצת אימון]&amp;TimeTable[שולחן הרצת אימון],0)),"")</f>
        <v>14</v>
      </c>
      <c r="M71" s="154">
        <f>INT((COUNTA($M$62:M70))/4)+1</f>
        <v>3</v>
      </c>
      <c r="N71" s="164">
        <f>IF(OR(PracticeSequence[[#This Row],[שולחן]]=$AA$3,PracticeSequence[[#This Row],[שולחן]]=$AA$7),N70+PM,N70)</f>
        <v>0.37291666666666662</v>
      </c>
      <c r="O71" s="96" t="str">
        <f>_xlfn.XLOOKUP($Q71-(ROUNDUP(PracticeSequence[[#This Row],[מקצה]]/2,0)-1)*8,Table_names[מסד],Table_names[שם מלא])</f>
        <v>2 אדום</v>
      </c>
      <c r="P71" s="154">
        <f>IFERROR(_xlfn.XLOOKUP(PracticeSequence[[#This Row],[מס"ד]],TeamList[מס"ד],TeamList[מס'' הקבוצה]),"")</f>
        <v>3179</v>
      </c>
      <c r="Q71" s="137">
        <v>10</v>
      </c>
      <c r="R71" s="71"/>
      <c r="S71" s="154">
        <f>IFERROR(IF(_xlfn.XLOOKUP(S70+1,TimeTable[מס"ד],TimeTable[מס'' הקבוצה])=9999,"",S70+1),"")</f>
        <v>10</v>
      </c>
      <c r="T71" s="154">
        <f t="shared" si="0"/>
        <v>3</v>
      </c>
      <c r="U71" s="164">
        <f>_xlfn.XLOOKUP(JudgingSequence[[#This Row],[מס"ד]],TimeTable[מס"ד],TimeTable[שעת שיפוט])</f>
        <v>0.39583333333333331</v>
      </c>
      <c r="V71" s="165">
        <f>IF(JudgingSequence[[#This Row],[חדר]]&gt;1,V70,V70+1)</f>
        <v>1</v>
      </c>
      <c r="W71" s="137">
        <v>10</v>
      </c>
    </row>
    <row r="72" spans="1:25" x14ac:dyDescent="0.65">
      <c r="A72" s="96">
        <v>3</v>
      </c>
      <c r="B72" s="154">
        <v>1</v>
      </c>
      <c r="C72" s="154">
        <f t="array" ref="C72">IFERROR(INDEX(TimeTable[מס"ד],MATCH(MatchSequence[[#This Row],[מקצה]]&amp;MatchSequence[[#This Row],[שולחן]],TimeTable[מס'' הרצה 1]&amp;TimeTable[שולחן הרצה 1],0)),"")</f>
        <v>1</v>
      </c>
      <c r="D72" s="154">
        <f>INT((COUNTA($D$62:D71))/4)+$D$62</f>
        <v>15</v>
      </c>
      <c r="E72" s="164">
        <f>IF(OR(MatchSequence[[#This Row],[שולחן]]=$AA$3,MatchSequence[[#This Row],[שולחן]]=$AA$7),E71+ORM,E71)-TIME(0,0,0.1)</f>
        <v>0.44791666666666663</v>
      </c>
      <c r="F72" s="154" t="str">
        <f>_xlfn.XLOOKUP($Q72-(ROUNDUP(A72/2,0)-1)*8,Table_names[מסד],Table_names[שם מלא])</f>
        <v>3 אדום</v>
      </c>
      <c r="G72" s="154">
        <f>IFERROR(_xlfn.XLOOKUP(MatchSequence[[#This Row],[מס"ד]],TeamList[מס"ד],TeamList[מס'' הקבוצה]),"")</f>
        <v>3163</v>
      </c>
      <c r="I72" s="166" t="s">
        <v>67</v>
      </c>
      <c r="J72" s="149">
        <f>_xlfn.XLOOKUP(N,break_scheduler['# of teams],break_scheduler[Break 2])</f>
        <v>3.125E-2</v>
      </c>
      <c r="L72" s="154" cm="1">
        <f t="array" ref="L72">IFERROR(INDEX(TimeTable[מס"ד],MATCH(PracticeSequence[[#This Row],[מקצה]]&amp;PracticeSequence[[#This Row],[שולחן]],TimeTable[מס'' הרצת אימון]&amp;TimeTable[שולחן הרצת אימון],0)),"")</f>
        <v>19</v>
      </c>
      <c r="M72" s="154">
        <f>INT((COUNTA($M$62:M71))/4)+1</f>
        <v>3</v>
      </c>
      <c r="N72" s="164">
        <f>IF(OR(PracticeSequence[[#This Row],[שולחן]]=$AA$3,PracticeSequence[[#This Row],[שולחן]]=$AA$7),N71+PM,N71)</f>
        <v>0.37291666666666662</v>
      </c>
      <c r="O72" s="96" t="str">
        <f>_xlfn.XLOOKUP($Q72-(ROUNDUP(PracticeSequence[[#This Row],[מקצה]]/2,0)-1)*8,Table_names[מסד],Table_names[שם מלא])</f>
        <v>3 אדום</v>
      </c>
      <c r="P72" s="154">
        <f>IFERROR(_xlfn.XLOOKUP(PracticeSequence[[#This Row],[מס"ד]],TeamList[מס"ד],TeamList[מס'' הקבוצה]),"")</f>
        <v>341</v>
      </c>
      <c r="Q72" s="137">
        <v>11</v>
      </c>
      <c r="R72" s="71"/>
      <c r="S72" s="154">
        <f>IFERROR(IF(_xlfn.XLOOKUP(S71+1,TimeTable[מס"ד],TimeTable[מס'' הקבוצה])=9999,"",S71+1),"")</f>
        <v>11</v>
      </c>
      <c r="T72" s="154">
        <f t="shared" si="0"/>
        <v>4</v>
      </c>
      <c r="U72" s="164">
        <f>_xlfn.XLOOKUP(JudgingSequence[[#This Row],[מס"ד]],TimeTable[מס"ד],TimeTable[שעת שיפוט])</f>
        <v>0.39583333333333331</v>
      </c>
      <c r="V72" s="165">
        <f>IF(JudgingSequence[[#This Row],[חדר]]&gt;1,V71,V71+1)</f>
        <v>1</v>
      </c>
      <c r="W72" s="137">
        <v>11</v>
      </c>
    </row>
    <row r="73" spans="1:25" x14ac:dyDescent="0.65">
      <c r="A73" s="96">
        <v>3</v>
      </c>
      <c r="B73" s="154">
        <v>1</v>
      </c>
      <c r="C73" s="154">
        <f t="array" ref="C73">IFERROR(INDEX(TimeTable[מס"ד],MATCH(MatchSequence[[#This Row],[מקצה]]&amp;MatchSequence[[#This Row],[שולחן]],TimeTable[מס'' הרצה 1]&amp;TimeTable[שולחן הרצה 1],0)),"")</f>
        <v>3</v>
      </c>
      <c r="D73" s="154">
        <f>INT((COUNTA($D$62:D72))/4)+$D$62</f>
        <v>15</v>
      </c>
      <c r="E73" s="164">
        <f>IF(OR(MatchSequence[[#This Row],[שולחן]]=$AA$3,MatchSequence[[#This Row],[שולחן]]=$AA$7),E72+ORM,E72)-TIME(0,0,0.1)</f>
        <v>0.44791666666666663</v>
      </c>
      <c r="F73" s="154" t="str">
        <f>_xlfn.XLOOKUP($Q73-(ROUNDUP(A73/2,0)-1)*8,Table_names[מסד],Table_names[שם מלא])</f>
        <v>4 אדום</v>
      </c>
      <c r="G73" s="154">
        <f>IFERROR(_xlfn.XLOOKUP(MatchSequence[[#This Row],[מס"ד]],TeamList[מס"ד],TeamList[מס'' הקבוצה]),"")</f>
        <v>1042</v>
      </c>
      <c r="I73" s="166" t="s">
        <v>64</v>
      </c>
      <c r="J73" s="149">
        <f>_xlfn.XLOOKUP(N,break_scheduler['# of teams],break_scheduler[Round 2 start])</f>
        <v>0.51388888888888884</v>
      </c>
      <c r="L73" s="154" cm="1">
        <f t="array" ref="L73">IFERROR(INDEX(TimeTable[מס"ד],MATCH(PracticeSequence[[#This Row],[מקצה]]&amp;PracticeSequence[[#This Row],[שולחן]],TimeTable[מס'' הרצת אימון]&amp;TimeTable[שולחן הרצת אימון],0)),"")</f>
        <v>23</v>
      </c>
      <c r="M73" s="154">
        <f>INT((COUNTA($M$62:M72))/4)+1</f>
        <v>3</v>
      </c>
      <c r="N73" s="164">
        <f>IF(OR(PracticeSequence[[#This Row],[שולחן]]=$AA$3,PracticeSequence[[#This Row],[שולחן]]=$AA$7),N72+PM,N72)</f>
        <v>0.37291666666666662</v>
      </c>
      <c r="O73" s="96" t="str">
        <f>_xlfn.XLOOKUP($Q73-(ROUNDUP(PracticeSequence[[#This Row],[מקצה]]/2,0)-1)*8,Table_names[מסד],Table_names[שם מלא])</f>
        <v>4 אדום</v>
      </c>
      <c r="P73" s="154">
        <f>IFERROR(_xlfn.XLOOKUP(PracticeSequence[[#This Row],[מס"ד]],TeamList[מס"ד],TeamList[מס'' הקבוצה]),"")</f>
        <v>1152</v>
      </c>
      <c r="Q73" s="137">
        <v>12</v>
      </c>
      <c r="R73" s="71"/>
      <c r="S73" s="154">
        <f>IFERROR(IF(_xlfn.XLOOKUP(S72+1,TimeTable[מס"ד],TimeTable[מס'' הקבוצה])=9999,"",S72+1),"")</f>
        <v>12</v>
      </c>
      <c r="T73" s="154">
        <f t="shared" si="0"/>
        <v>5</v>
      </c>
      <c r="U73" s="164">
        <f>_xlfn.XLOOKUP(JudgingSequence[[#This Row],[מס"ד]],TimeTable[מס"ד],TimeTable[שעת שיפוט])</f>
        <v>0.39583333333333331</v>
      </c>
      <c r="V73" s="165">
        <f>IF(JudgingSequence[[#This Row],[חדר]]&gt;1,V72,V72+1)</f>
        <v>1</v>
      </c>
      <c r="W73" s="137">
        <v>12</v>
      </c>
    </row>
    <row r="74" spans="1:25" x14ac:dyDescent="0.65">
      <c r="A74" s="96">
        <v>4</v>
      </c>
      <c r="B74" s="154">
        <v>1</v>
      </c>
      <c r="C74" s="154">
        <f t="array" ref="C74">IFERROR(INDEX(TimeTable[מס"ד],MATCH(MatchSequence[[#This Row],[מקצה]]&amp;MatchSequence[[#This Row],[שולחן]],TimeTable[מס'' הרצה 1]&amp;TimeTable[שולחן הרצה 1],0)),"")</f>
        <v>22</v>
      </c>
      <c r="D74" s="154">
        <f>INT((COUNTA($D$62:D73))/4)+$D$62</f>
        <v>16</v>
      </c>
      <c r="E74" s="164">
        <f>IF(OR(MatchSequence[[#This Row],[שולחן]]=$AA$3,MatchSequence[[#This Row],[שולחן]]=$AA$7),E73+ORM,E73)-TIME(0,0,0.1)</f>
        <v>0.45138888888888884</v>
      </c>
      <c r="F74" s="154" t="str">
        <f>_xlfn.XLOOKUP($Q74-(ROUNDUP(A74/2,0)-1)*8,Table_names[מסד],Table_names[שם מלא])</f>
        <v>5 אדום</v>
      </c>
      <c r="G74" s="154">
        <f>IFERROR(_xlfn.XLOOKUP(MatchSequence[[#This Row],[מס"ד]],TeamList[מס"ד],TeamList[מס'' הקבוצה]),"")</f>
        <v>3022</v>
      </c>
      <c r="I74" s="166" t="s">
        <v>68</v>
      </c>
      <c r="J74" s="149">
        <f>_xlfn.XLOOKUP(N,break_scheduler['# of teams],break_scheduler[Break 3])</f>
        <v>3.4722222222222224E-2</v>
      </c>
      <c r="L74" s="154" cm="1">
        <f t="array" ref="L74">IFERROR(INDEX(TimeTable[מס"ד],MATCH(PracticeSequence[[#This Row],[מקצה]]&amp;PracticeSequence[[#This Row],[שולחן]],TimeTable[מס'' הרצת אימון]&amp;TimeTable[שולחן הרצת אימון],0)),"")</f>
        <v>11</v>
      </c>
      <c r="M74" s="154">
        <f>INT((COUNTA($M$62:M73))/4)+1</f>
        <v>4</v>
      </c>
      <c r="N74" s="164">
        <f>IF(OR(PracticeSequence[[#This Row],[שולחן]]=$AA$3,PracticeSequence[[#This Row],[שולחן]]=$AA$7),N73+PM,N73)</f>
        <v>0.37708333333333327</v>
      </c>
      <c r="O74" s="96" t="str">
        <f>_xlfn.XLOOKUP($Q74-(ROUNDUP(PracticeSequence[[#This Row],[מקצה]]/2,0)-1)*8,Table_names[מסד],Table_names[שם מלא])</f>
        <v>5 אדום</v>
      </c>
      <c r="P74" s="154">
        <f>IFERROR(_xlfn.XLOOKUP(PracticeSequence[[#This Row],[מס"ד]],TeamList[מס"ד],TeamList[מס'' הקבוצה]),"")</f>
        <v>3139</v>
      </c>
      <c r="Q74" s="137">
        <v>13</v>
      </c>
      <c r="R74" s="71"/>
      <c r="S74" s="154">
        <f>IFERROR(IF(_xlfn.XLOOKUP(S73+1,TimeTable[מס"ד],TimeTable[מס'' הקבוצה])=9999,"",S73+1),"")</f>
        <v>13</v>
      </c>
      <c r="T74" s="154">
        <f t="shared" si="0"/>
        <v>6</v>
      </c>
      <c r="U74" s="164">
        <f>_xlfn.XLOOKUP(JudgingSequence[[#This Row],[מס"ד]],TimeTable[מס"ד],TimeTable[שעת שיפוט])</f>
        <v>0.39583333333333331</v>
      </c>
      <c r="V74" s="165">
        <f>IF(JudgingSequence[[#This Row],[חדר]]&gt;1,V73,V73+1)</f>
        <v>1</v>
      </c>
      <c r="W74" s="137">
        <v>13</v>
      </c>
    </row>
    <row r="75" spans="1:25" x14ac:dyDescent="0.65">
      <c r="A75" s="96">
        <v>4</v>
      </c>
      <c r="B75" s="154">
        <v>1</v>
      </c>
      <c r="C75" s="154">
        <f t="array" ref="C75">IFERROR(INDEX(TimeTable[מס"ד],MATCH(MatchSequence[[#This Row],[מקצה]]&amp;MatchSequence[[#This Row],[שולחן]],TimeTable[מס'' הרצה 1]&amp;TimeTable[שולחן הרצה 1],0)),"")</f>
        <v>32</v>
      </c>
      <c r="D75" s="154">
        <f>INT((COUNTA($D$62:D74))/4)+$D$62</f>
        <v>16</v>
      </c>
      <c r="E75" s="164">
        <f>IF(OR(MatchSequence[[#This Row],[שולחן]]=$AA$3,MatchSequence[[#This Row],[שולחן]]=$AA$7),E74+ORM,E74)-TIME(0,0,0.1)</f>
        <v>0.45138888888888884</v>
      </c>
      <c r="F75" s="154" t="str">
        <f>_xlfn.XLOOKUP($Q75-(ROUNDUP(A75/2,0)-1)*8,Table_names[מסד],Table_names[שם מלא])</f>
        <v>6 אדום</v>
      </c>
      <c r="G75" s="154">
        <f>IFERROR(_xlfn.XLOOKUP(MatchSequence[[#This Row],[מס"ד]],TeamList[מס"ד],TeamList[מס'' הקבוצה]),"")</f>
        <v>3182</v>
      </c>
      <c r="I75" s="166" t="s">
        <v>65</v>
      </c>
      <c r="J75" s="149">
        <f>_xlfn.XLOOKUP(N,break_scheduler['# of teams],break_scheduler[Round 3 start])</f>
        <v>0.59027777777777768</v>
      </c>
      <c r="L75" s="154" cm="1">
        <f t="array" ref="L75">IFERROR(INDEX(TimeTable[מס"ד],MATCH(PracticeSequence[[#This Row],[מקצה]]&amp;PracticeSequence[[#This Row],[שולחן]],TimeTable[מס'' הרצת אימון]&amp;TimeTable[שולחן הרצת אימון],0)),"")</f>
        <v>15</v>
      </c>
      <c r="M75" s="154">
        <f>INT((COUNTA($M$62:M74))/4)+1</f>
        <v>4</v>
      </c>
      <c r="N75" s="164">
        <f>IF(OR(PracticeSequence[[#This Row],[שולחן]]=$AA$3,PracticeSequence[[#This Row],[שולחן]]=$AA$7),N74+PM,N74)</f>
        <v>0.37708333333333327</v>
      </c>
      <c r="O75" s="96" t="str">
        <f>_xlfn.XLOOKUP($Q75-(ROUNDUP(PracticeSequence[[#This Row],[מקצה]]/2,0)-1)*8,Table_names[מסד],Table_names[שם מלא])</f>
        <v>6 אדום</v>
      </c>
      <c r="P75" s="154">
        <f>IFERROR(_xlfn.XLOOKUP(PracticeSequence[[#This Row],[מס"ד]],TeamList[מס"ד],TeamList[מס'' הקבוצה]),"")</f>
        <v>3146</v>
      </c>
      <c r="Q75" s="137">
        <v>14</v>
      </c>
      <c r="R75" s="71"/>
      <c r="S75" s="154">
        <f>IFERROR(IF(_xlfn.XLOOKUP(S74+1,TimeTable[מס"ד],TimeTable[מס'' הקבוצה])=9999,"",S74+1),"")</f>
        <v>14</v>
      </c>
      <c r="T75" s="154">
        <f t="shared" si="0"/>
        <v>7</v>
      </c>
      <c r="U75" s="164">
        <f>_xlfn.XLOOKUP(JudgingSequence[[#This Row],[מס"ד]],TimeTable[מס"ד],TimeTable[שעת שיפוט])</f>
        <v>0.39583333333333331</v>
      </c>
      <c r="V75" s="165">
        <f>IF(JudgingSequence[[#This Row],[חדר]]&gt;1,V74,V74+1)</f>
        <v>1</v>
      </c>
      <c r="W75" s="137">
        <v>14</v>
      </c>
    </row>
    <row r="76" spans="1:25" x14ac:dyDescent="0.65">
      <c r="A76" s="96">
        <v>4</v>
      </c>
      <c r="B76" s="154">
        <v>1</v>
      </c>
      <c r="C76" s="154">
        <f t="array" ref="C76">IFERROR(INDEX(TimeTable[מס"ד],MATCH(MatchSequence[[#This Row],[מקצה]]&amp;MatchSequence[[#This Row],[שולחן]],TimeTable[מס'' הרצה 1]&amp;TimeTable[שולחן הרצה 1],0)),"")</f>
        <v>2</v>
      </c>
      <c r="D76" s="154">
        <f>INT((COUNTA($D$62:D75))/4)+$D$62</f>
        <v>16</v>
      </c>
      <c r="E76" s="164">
        <f>IF(OR(MatchSequence[[#This Row],[שולחן]]=$AA$3,MatchSequence[[#This Row],[שולחן]]=$AA$7),E75+ORM,E75)-TIME(0,0,0.1)</f>
        <v>0.45138888888888884</v>
      </c>
      <c r="F76" s="154" t="str">
        <f>_xlfn.XLOOKUP($Q76-(ROUNDUP(A76/2,0)-1)*8,Table_names[מסד],Table_names[שם מלא])</f>
        <v>7 אדום</v>
      </c>
      <c r="G76" s="154">
        <f>IFERROR(_xlfn.XLOOKUP(MatchSequence[[#This Row],[מס"ד]],TeamList[מס"ד],TeamList[מס'' הקבוצה]),"")</f>
        <v>3180</v>
      </c>
      <c r="H76" s="79"/>
      <c r="I76" s="166"/>
      <c r="J76" s="149"/>
      <c r="L76" s="154" cm="1">
        <f t="array" ref="L76">IFERROR(INDEX(TimeTable[מס"ד],MATCH(PracticeSequence[[#This Row],[מקצה]]&amp;PracticeSequence[[#This Row],[שולחן]],TimeTable[מס'' הרצת אימון]&amp;TimeTable[שולחן הרצת אימון],0)),"")</f>
        <v>20</v>
      </c>
      <c r="M76" s="154">
        <f>INT((COUNTA($M$62:M75))/4)+1</f>
        <v>4</v>
      </c>
      <c r="N76" s="164">
        <f>IF(OR(PracticeSequence[[#This Row],[שולחן]]=$AA$3,PracticeSequence[[#This Row],[שולחן]]=$AA$7),N75+PM,N75)</f>
        <v>0.37708333333333327</v>
      </c>
      <c r="O76" s="96" t="str">
        <f>_xlfn.XLOOKUP($Q76-(ROUNDUP(PracticeSequence[[#This Row],[מקצה]]/2,0)-1)*8,Table_names[מסד],Table_names[שם מלא])</f>
        <v>7 אדום</v>
      </c>
      <c r="P76" s="154">
        <f>IFERROR(_xlfn.XLOOKUP(PracticeSequence[[#This Row],[מס"ד]],TeamList[מס"ד],TeamList[מס'' הקבוצה]),"")</f>
        <v>2222</v>
      </c>
      <c r="Q76" s="137">
        <v>15</v>
      </c>
      <c r="R76" s="71"/>
      <c r="S76" s="154">
        <f>IFERROR(IF(_xlfn.XLOOKUP(S75+1,TimeTable[מס"ד],TimeTable[מס'' הקבוצה])=9999,"",S75+1),"")</f>
        <v>15</v>
      </c>
      <c r="T76" s="154">
        <f t="shared" si="0"/>
        <v>1</v>
      </c>
      <c r="U76" s="164">
        <f>_xlfn.XLOOKUP(JudgingSequence[[#This Row],[מס"ד]],TimeTable[מס"ד],TimeTable[שעת שיפוט])</f>
        <v>0.4375</v>
      </c>
      <c r="V76" s="165">
        <f>IF(JudgingSequence[[#This Row],[חדר]]&gt;1,V75,V75+1)</f>
        <v>2</v>
      </c>
      <c r="W76" s="137">
        <v>15</v>
      </c>
      <c r="Y76" s="169"/>
    </row>
    <row r="77" spans="1:25" x14ac:dyDescent="0.65">
      <c r="A77" s="96">
        <v>4</v>
      </c>
      <c r="B77" s="154">
        <v>1</v>
      </c>
      <c r="C77" s="154">
        <f t="array" ref="C77">IFERROR(INDEX(TimeTable[מס"ד],MATCH(MatchSequence[[#This Row],[מקצה]]&amp;MatchSequence[[#This Row],[שולחן]],TimeTable[מס'' הרצה 1]&amp;TimeTable[שולחן הרצה 1],0)),"")</f>
        <v>4</v>
      </c>
      <c r="D77" s="154">
        <f>INT((COUNTA($D$62:D76))/4)+$D$62</f>
        <v>16</v>
      </c>
      <c r="E77" s="164">
        <f>IF(OR(MatchSequence[[#This Row],[שולחן]]=$AA$3,MatchSequence[[#This Row],[שולחן]]=$AA$7),E76+ORM,E76)-TIME(0,0,0.1)</f>
        <v>0.45138888888888884</v>
      </c>
      <c r="F77" s="154" t="str">
        <f>_xlfn.XLOOKUP($Q77-(ROUNDUP(A77/2,0)-1)*8,Table_names[מסד],Table_names[שם מלא])</f>
        <v>8 אדום</v>
      </c>
      <c r="G77" s="154">
        <f>IFERROR(_xlfn.XLOOKUP(MatchSequence[[#This Row],[מס"ד]],TeamList[מס"ד],TeamList[מס'' הקבוצה]),"")</f>
        <v>1825</v>
      </c>
      <c r="H77" s="79"/>
      <c r="I77" s="166"/>
      <c r="J77" s="149"/>
      <c r="L77" s="154" cm="1">
        <f t="array" ref="L77">IFERROR(INDEX(TimeTable[מס"ד],MATCH(PracticeSequence[[#This Row],[מקצה]]&amp;PracticeSequence[[#This Row],[שולחן]],TimeTable[מס'' הרצת אימון]&amp;TimeTable[שולחן הרצת אימון],0)),"")</f>
        <v>24</v>
      </c>
      <c r="M77" s="154">
        <f>INT((COUNTA($M$62:M76))/4)+1</f>
        <v>4</v>
      </c>
      <c r="N77" s="164">
        <f>IF(OR(PracticeSequence[[#This Row],[שולחן]]=$AA$3,PracticeSequence[[#This Row],[שולחן]]=$AA$7),N76+PM,N76)</f>
        <v>0.37708333333333327</v>
      </c>
      <c r="O77" s="96" t="str">
        <f>_xlfn.XLOOKUP($Q77-(ROUNDUP(PracticeSequence[[#This Row],[מקצה]]/2,0)-1)*8,Table_names[מסד],Table_names[שם מלא])</f>
        <v>8 אדום</v>
      </c>
      <c r="P77" s="154">
        <f>IFERROR(_xlfn.XLOOKUP(PracticeSequence[[#This Row],[מס"ד]],TeamList[מס"ד],TeamList[מס'' הקבוצה]),"")</f>
        <v>1864</v>
      </c>
      <c r="Q77" s="137">
        <v>16</v>
      </c>
      <c r="R77" s="71"/>
      <c r="S77" s="154">
        <f>IFERROR(IF(_xlfn.XLOOKUP(S76+1,TimeTable[מס"ד],TimeTable[מס'' הקבוצה])=9999,"",S76+1),"")</f>
        <v>16</v>
      </c>
      <c r="T77" s="154">
        <f t="shared" si="0"/>
        <v>2</v>
      </c>
      <c r="U77" s="164">
        <f>_xlfn.XLOOKUP(JudgingSequence[[#This Row],[מס"ד]],TimeTable[מס"ד],TimeTable[שעת שיפוט])</f>
        <v>0.4375</v>
      </c>
      <c r="V77" s="165">
        <f>IF(JudgingSequence[[#This Row],[חדר]]&gt;1,V76,V76+1)</f>
        <v>2</v>
      </c>
      <c r="W77" s="137">
        <v>16</v>
      </c>
      <c r="Y77" s="169"/>
    </row>
    <row r="78" spans="1:25" x14ac:dyDescent="0.65">
      <c r="A78" s="96">
        <v>5</v>
      </c>
      <c r="B78" s="154">
        <v>1</v>
      </c>
      <c r="C78" s="154">
        <f t="array" ref="C78">IFERROR(INDEX(TimeTable[מס"ד],MATCH(MatchSequence[[#This Row],[מקצה]]&amp;MatchSequence[[#This Row],[שולחן]],TimeTable[מס'' הרצה 1]&amp;TimeTable[שולחן הרצה 1],0)),"")</f>
        <v>10</v>
      </c>
      <c r="D78" s="154">
        <f>INT((COUNTA($D$62:D77))/4)+$D$62</f>
        <v>17</v>
      </c>
      <c r="E78" s="164">
        <f>IF(OR(MatchSequence[[#This Row],[שולחן]]=$AA$3,MatchSequence[[#This Row],[שולחן]]=$AA$7),E77+ORM,E77)-TIME(0,0,0.1)</f>
        <v>0.45486111111111105</v>
      </c>
      <c r="F78" s="154" t="str">
        <f>_xlfn.XLOOKUP($Q78-(ROUNDUP(A78/2,0)-1)*8,Table_names[מסד],Table_names[שם מלא])</f>
        <v>1 אדום</v>
      </c>
      <c r="G78" s="154">
        <f>IFERROR(_xlfn.XLOOKUP(MatchSequence[[#This Row],[מס"ד]],TeamList[מס"ד],TeamList[מס'' הקבוצה]),"")</f>
        <v>1371</v>
      </c>
      <c r="I78" s="170" t="s">
        <v>76</v>
      </c>
      <c r="J78" s="149">
        <f>JB</f>
        <v>1.0416666666666666E-2</v>
      </c>
      <c r="L78" s="154" cm="1">
        <f t="array" ref="L78">IFERROR(INDEX(TimeTable[מס"ד],MATCH(PracticeSequence[[#This Row],[מקצה]]&amp;PracticeSequence[[#This Row],[שולחן]],TimeTable[מס'' הרצת אימון]&amp;TimeTable[שולחן הרצת אימון],0)),"")</f>
        <v>25</v>
      </c>
      <c r="M78" s="154">
        <f>INT((COUNTA($M$62:M77))/4)+1</f>
        <v>5</v>
      </c>
      <c r="N78" s="164">
        <f>IF(OR(PracticeSequence[[#This Row],[שולחן]]=$AA$3,PracticeSequence[[#This Row],[שולחן]]=$AA$7),N77+PM,N77)</f>
        <v>0.38124999999999992</v>
      </c>
      <c r="O78" s="96" t="str">
        <f>_xlfn.XLOOKUP($Q78-(ROUNDUP(PracticeSequence[[#This Row],[מקצה]]/2,0)-1)*8,Table_names[מסד],Table_names[שם מלא])</f>
        <v>1 אדום</v>
      </c>
      <c r="P78" s="154">
        <f>IFERROR(_xlfn.XLOOKUP(PracticeSequence[[#This Row],[מס"ד]],TeamList[מס"ד],TeamList[מס'' הקבוצה]),"")</f>
        <v>2840</v>
      </c>
      <c r="Q78" s="137">
        <v>17</v>
      </c>
      <c r="R78" s="71"/>
      <c r="S78" s="154">
        <f>IFERROR(IF(_xlfn.XLOOKUP(S77+1,TimeTable[מס"ד],TimeTable[מס'' הקבוצה])=9999,"",S77+1),"")</f>
        <v>17</v>
      </c>
      <c r="T78" s="154">
        <f t="shared" si="0"/>
        <v>3</v>
      </c>
      <c r="U78" s="164">
        <f>_xlfn.XLOOKUP(JudgingSequence[[#This Row],[מס"ד]],TimeTable[מס"ד],TimeTable[שעת שיפוט])</f>
        <v>0.4375</v>
      </c>
      <c r="V78" s="165">
        <f>IF(JudgingSequence[[#This Row],[חדר]]&gt;1,V77,V77+1)</f>
        <v>2</v>
      </c>
      <c r="W78" s="137">
        <v>17</v>
      </c>
      <c r="X78" s="96"/>
      <c r="Y78" s="96"/>
    </row>
    <row r="79" spans="1:25" x14ac:dyDescent="0.65">
      <c r="A79" s="96">
        <v>5</v>
      </c>
      <c r="B79" s="154">
        <v>1</v>
      </c>
      <c r="C79" s="154">
        <f t="array" ref="C79">IFERROR(INDEX(TimeTable[מס"ד],MATCH(MatchSequence[[#This Row],[מקצה]]&amp;MatchSequence[[#This Row],[שולחן]],TimeTable[מס'' הרצה 1]&amp;TimeTable[שולחן הרצה 1],0)),"")</f>
        <v>12</v>
      </c>
      <c r="D79" s="154">
        <f>INT((COUNTA($D$62:D78))/4)+$D$62</f>
        <v>17</v>
      </c>
      <c r="E79" s="164">
        <f>IF(OR(MatchSequence[[#This Row],[שולחן]]=$AA$3,MatchSequence[[#This Row],[שולחן]]=$AA$7),E78+ORM,E78)-TIME(0,0,0.1)</f>
        <v>0.45486111111111105</v>
      </c>
      <c r="F79" s="154" t="str">
        <f>_xlfn.XLOOKUP($Q79-(ROUNDUP(A79/2,0)-1)*8,Table_names[מסד],Table_names[שם מלא])</f>
        <v>2 אדום</v>
      </c>
      <c r="G79" s="154">
        <f>IFERROR(_xlfn.XLOOKUP(MatchSequence[[#This Row],[מס"ד]],TeamList[מס"ד],TeamList[מס'' הקבוצה]),"")</f>
        <v>515</v>
      </c>
      <c r="I79" s="166" t="s">
        <v>75</v>
      </c>
      <c r="J79" s="149">
        <f>_xlfn.XLOOKUP(N,break_scheduler['# of teams],break_scheduler[Judges Lunch])</f>
        <v>3.125E-2</v>
      </c>
      <c r="L79" s="154" cm="1">
        <f t="array" ref="L79">IFERROR(INDEX(TimeTable[מס"ד],MATCH(PracticeSequence[[#This Row],[מקצה]]&amp;PracticeSequence[[#This Row],[שולחן]],TimeTable[מס'' הרצת אימון]&amp;TimeTable[שולחן הרצת אימון],0)),"")</f>
        <v>29</v>
      </c>
      <c r="M79" s="154">
        <f>INT((COUNTA($M$62:M78))/4)+1</f>
        <v>5</v>
      </c>
      <c r="N79" s="164">
        <f>IF(OR(PracticeSequence[[#This Row],[שולחן]]=$AA$3,PracticeSequence[[#This Row],[שולחן]]=$AA$7),N78+PM,N78)</f>
        <v>0.38124999999999992</v>
      </c>
      <c r="O79" s="96" t="str">
        <f>_xlfn.XLOOKUP($Q79-(ROUNDUP(PracticeSequence[[#This Row],[מקצה]]/2,0)-1)*8,Table_names[מסד],Table_names[שם מלא])</f>
        <v>2 אדום</v>
      </c>
      <c r="P79" s="154">
        <f>IFERROR(_xlfn.XLOOKUP(PracticeSequence[[#This Row],[מס"ד]],TeamList[מס"ד],TeamList[מס'' הקבוצה]),"")</f>
        <v>1333</v>
      </c>
      <c r="Q79" s="137">
        <v>18</v>
      </c>
      <c r="R79" s="71"/>
      <c r="S79" s="154">
        <f>IFERROR(IF(_xlfn.XLOOKUP(S78+1,TimeTable[מס"ד],TimeTable[מס'' הקבוצה])=9999,"",S78+1),"")</f>
        <v>18</v>
      </c>
      <c r="T79" s="154">
        <f t="shared" si="0"/>
        <v>4</v>
      </c>
      <c r="U79" s="164">
        <f>_xlfn.XLOOKUP(JudgingSequence[[#This Row],[מס"ד]],TimeTable[מס"ד],TimeTable[שעת שיפוט])</f>
        <v>0.4375</v>
      </c>
      <c r="V79" s="165">
        <f>IF(JudgingSequence[[#This Row],[חדר]]&gt;1,V78,V78+1)</f>
        <v>2</v>
      </c>
      <c r="W79" s="137">
        <v>18</v>
      </c>
    </row>
    <row r="80" spans="1:25" x14ac:dyDescent="0.65">
      <c r="A80" s="96">
        <v>5</v>
      </c>
      <c r="B80" s="154">
        <v>1</v>
      </c>
      <c r="C80" s="154">
        <f t="array" ref="C80">IFERROR(INDEX(TimeTable[מס"ד],MATCH(MatchSequence[[#This Row],[מקצה]]&amp;MatchSequence[[#This Row],[שולחן]],TimeTable[מס'' הרצה 1]&amp;TimeTable[שולחן הרצה 1],0)),"")</f>
        <v>6</v>
      </c>
      <c r="D80" s="154">
        <f>INT((COUNTA($D$62:D79))/4)+$D$62</f>
        <v>17</v>
      </c>
      <c r="E80" s="164">
        <f>IF(OR(MatchSequence[[#This Row],[שולחן]]=$AA$3,MatchSequence[[#This Row],[שולחן]]=$AA$7),E79+ORM,E79)-TIME(0,0,0.1)</f>
        <v>0.45486111111111105</v>
      </c>
      <c r="F80" s="154" t="str">
        <f>_xlfn.XLOOKUP($Q80-(ROUNDUP(A80/2,0)-1)*8,Table_names[מסד],Table_names[שם מלא])</f>
        <v>3 אדום</v>
      </c>
      <c r="G80" s="154">
        <f>IFERROR(_xlfn.XLOOKUP(MatchSequence[[#This Row],[מס"ד]],TeamList[מס"ד],TeamList[מס'' הקבוצה]),"")</f>
        <v>2954</v>
      </c>
      <c r="I80" s="166" t="s">
        <v>69</v>
      </c>
      <c r="J80" s="96">
        <f>ROUNDUP(N/7,0)</f>
        <v>7</v>
      </c>
      <c r="L80" s="154" cm="1">
        <f t="array" ref="L80">IFERROR(INDEX(TimeTable[מס"ד],MATCH(PracticeSequence[[#This Row],[מקצה]]&amp;PracticeSequence[[#This Row],[שולחן]],TimeTable[מס'' הרצת אימון]&amp;TimeTable[שולחן הרצת אימון],0)),"")</f>
        <v>33</v>
      </c>
      <c r="M80" s="154">
        <f>INT((COUNTA($M$62:M79))/4)+1</f>
        <v>5</v>
      </c>
      <c r="N80" s="164">
        <f>IF(OR(PracticeSequence[[#This Row],[שולחן]]=$AA$3,PracticeSequence[[#This Row],[שולחן]]=$AA$7),N79+PM,N79)</f>
        <v>0.38124999999999992</v>
      </c>
      <c r="O80" s="96" t="str">
        <f>_xlfn.XLOOKUP($Q80-(ROUNDUP(PracticeSequence[[#This Row],[מקצה]]/2,0)-1)*8,Table_names[מסד],Table_names[שם מלא])</f>
        <v>3 אדום</v>
      </c>
      <c r="P80" s="154">
        <f>IFERROR(_xlfn.XLOOKUP(PracticeSequence[[#This Row],[מס"ד]],TeamList[מס"ד],TeamList[מס'' הקבוצה]),"")</f>
        <v>1324</v>
      </c>
      <c r="Q80" s="137">
        <v>19</v>
      </c>
      <c r="R80" s="71"/>
      <c r="S80" s="154">
        <f>IFERROR(IF(_xlfn.XLOOKUP(S79+1,TimeTable[מס"ד],TimeTable[מס'' הקבוצה])=9999,"",S79+1),"")</f>
        <v>19</v>
      </c>
      <c r="T80" s="154">
        <f t="shared" si="0"/>
        <v>5</v>
      </c>
      <c r="U80" s="164">
        <f>_xlfn.XLOOKUP(JudgingSequence[[#This Row],[מס"ד]],TimeTable[מס"ד],TimeTable[שעת שיפוט])</f>
        <v>0.4375</v>
      </c>
      <c r="V80" s="165">
        <f>IF(JudgingSequence[[#This Row],[חדר]]&gt;1,V79,V79+1)</f>
        <v>2</v>
      </c>
      <c r="W80" s="137">
        <v>19</v>
      </c>
    </row>
    <row r="81" spans="1:23" x14ac:dyDescent="0.65">
      <c r="A81" s="96">
        <v>5</v>
      </c>
      <c r="B81" s="154">
        <v>1</v>
      </c>
      <c r="C81" s="154">
        <f t="array" ref="C81">IFERROR(INDEX(TimeTable[מס"ד],MATCH(MatchSequence[[#This Row],[מקצה]]&amp;MatchSequence[[#This Row],[שולחן]],TimeTable[מס'' הרצה 1]&amp;TimeTable[שולחן הרצה 1],0)),"")</f>
        <v>8</v>
      </c>
      <c r="D81" s="154">
        <f>INT((COUNTA($D$62:D80))/4)+$D$62</f>
        <v>17</v>
      </c>
      <c r="E81" s="164">
        <f>IF(OR(MatchSequence[[#This Row],[שולחן]]=$AA$3,MatchSequence[[#This Row],[שולחן]]=$AA$7),E80+ORM,E80)-TIME(0,0,0.1)</f>
        <v>0.45486111111111105</v>
      </c>
      <c r="F81" s="154" t="str">
        <f>_xlfn.XLOOKUP($Q81-(ROUNDUP(A81/2,0)-1)*8,Table_names[מסד],Table_names[שם מלא])</f>
        <v>4 אדום</v>
      </c>
      <c r="G81" s="154">
        <f>IFERROR(_xlfn.XLOOKUP(MatchSequence[[#This Row],[מס"ד]],TeamList[מס"ד],TeamList[מס'' הקבוצה]),"")</f>
        <v>2978</v>
      </c>
      <c r="I81" s="166" t="s">
        <v>71</v>
      </c>
      <c r="J81" s="96">
        <v>8</v>
      </c>
      <c r="L81" s="154" cm="1">
        <f t="array" ref="L81">IFERROR(INDEX(TimeTable[מס"ד],MATCH(PracticeSequence[[#This Row],[מקצה]]&amp;PracticeSequence[[#This Row],[שולחן]],TimeTable[מס'' הרצת אימון]&amp;TimeTable[שולחן הרצת אימון],0)),"")</f>
        <v>37</v>
      </c>
      <c r="M81" s="154">
        <f>INT((COUNTA($M$62:M80))/4)+1</f>
        <v>5</v>
      </c>
      <c r="N81" s="164">
        <f>IF(OR(PracticeSequence[[#This Row],[שולחן]]=$AA$3,PracticeSequence[[#This Row],[שולחן]]=$AA$7),N80+PM,N80)</f>
        <v>0.38124999999999992</v>
      </c>
      <c r="O81" s="96" t="str">
        <f>_xlfn.XLOOKUP($Q81-(ROUNDUP(PracticeSequence[[#This Row],[מקצה]]/2,0)-1)*8,Table_names[מסד],Table_names[שם מלא])</f>
        <v>4 אדום</v>
      </c>
      <c r="P81" s="154">
        <f>IFERROR(_xlfn.XLOOKUP(PracticeSequence[[#This Row],[מס"ד]],TeamList[מס"ד],TeamList[מס'' הקבוצה]),"")</f>
        <v>1300</v>
      </c>
      <c r="Q81" s="137">
        <v>20</v>
      </c>
      <c r="R81" s="71"/>
      <c r="S81" s="154">
        <f>IFERROR(IF(_xlfn.XLOOKUP(S80+1,TimeTable[מס"ד],TimeTable[מס'' הקבוצה])=9999,"",S80+1),"")</f>
        <v>20</v>
      </c>
      <c r="T81" s="154">
        <f t="shared" si="0"/>
        <v>6</v>
      </c>
      <c r="U81" s="164">
        <f>_xlfn.XLOOKUP(JudgingSequence[[#This Row],[מס"ד]],TimeTable[מס"ד],TimeTable[שעת שיפוט])</f>
        <v>0.4375</v>
      </c>
      <c r="V81" s="165">
        <f>IF(JudgingSequence[[#This Row],[חדר]]&gt;1,V80,V80+1)</f>
        <v>2</v>
      </c>
      <c r="W81" s="137">
        <v>20</v>
      </c>
    </row>
    <row r="82" spans="1:23" x14ac:dyDescent="0.65">
      <c r="A82" s="96">
        <v>6</v>
      </c>
      <c r="B82" s="154">
        <v>1</v>
      </c>
      <c r="C82" s="154">
        <f t="array" ref="C82">IFERROR(INDEX(TimeTable[מס"ד],MATCH(MatchSequence[[#This Row],[מקצה]]&amp;MatchSequence[[#This Row],[שולחן]],TimeTable[מס'' הרצה 1]&amp;TimeTable[שולחן הרצה 1],0)),"")</f>
        <v>11</v>
      </c>
      <c r="D82" s="154">
        <f>INT((COUNTA($D$62:D81))/4)+$D$62</f>
        <v>18</v>
      </c>
      <c r="E82" s="164">
        <f>IF(OR(MatchSequence[[#This Row],[שולחן]]=$AA$3,MatchSequence[[#This Row],[שולחן]]=$AA$7),E81+ORM,E81)-TIME(0,0,0.1)</f>
        <v>0.45833333333333326</v>
      </c>
      <c r="F82" s="154" t="str">
        <f>_xlfn.XLOOKUP($Q82-(ROUNDUP(A82/2,0)-1)*8,Table_names[מסד],Table_names[שם מלא])</f>
        <v>5 אדום</v>
      </c>
      <c r="G82" s="154">
        <f>IFERROR(_xlfn.XLOOKUP(MatchSequence[[#This Row],[מס"ד]],TeamList[מס"ד],TeamList[מס'' הקבוצה]),"")</f>
        <v>3139</v>
      </c>
      <c r="I82" s="166" t="s">
        <v>101</v>
      </c>
      <c r="J82" s="96">
        <f>_xlfn.XLOOKUP(N,break_scheduler['# of teams],break_scheduler[Round matches])</f>
        <v>12</v>
      </c>
      <c r="L82" s="154" cm="1">
        <f t="array" ref="L82">IFERROR(INDEX(TimeTable[מס"ד],MATCH(PracticeSequence[[#This Row],[מקצה]]&amp;PracticeSequence[[#This Row],[שולחן]],TimeTable[מס'' הרצת אימון]&amp;TimeTable[שולחן הרצת אימון],0)),"")</f>
        <v>26</v>
      </c>
      <c r="M82" s="154">
        <f>INT((COUNTA($M$62:M81))/4)+1</f>
        <v>6</v>
      </c>
      <c r="N82" s="164">
        <f>IF(OR(PracticeSequence[[#This Row],[שולחן]]=$AA$3,PracticeSequence[[#This Row],[שולחן]]=$AA$7),N81+PM,N81)</f>
        <v>0.38541666666666657</v>
      </c>
      <c r="O82" s="96" t="str">
        <f>_xlfn.XLOOKUP($Q82-(ROUNDUP(PracticeSequence[[#This Row],[מקצה]]/2,0)-1)*8,Table_names[מסד],Table_names[שם מלא])</f>
        <v>5 אדום</v>
      </c>
      <c r="P82" s="154">
        <f>IFERROR(_xlfn.XLOOKUP(PracticeSequence[[#This Row],[מס"ד]],TeamList[מס"ד],TeamList[מס'' הקבוצה]),"")</f>
        <v>52</v>
      </c>
      <c r="Q82" s="137">
        <v>21</v>
      </c>
      <c r="R82" s="71"/>
      <c r="S82" s="154">
        <f>IFERROR(IF(_xlfn.XLOOKUP(S81+1,TimeTable[מס"ד],TimeTable[מס'' הקבוצה])=9999,"",S81+1),"")</f>
        <v>21</v>
      </c>
      <c r="T82" s="154">
        <f t="shared" si="0"/>
        <v>7</v>
      </c>
      <c r="U82" s="164">
        <f>_xlfn.XLOOKUP(JudgingSequence[[#This Row],[מס"ד]],TimeTable[מס"ד],TimeTable[שעת שיפוט])</f>
        <v>0.4375</v>
      </c>
      <c r="V82" s="165">
        <f>IF(JudgingSequence[[#This Row],[חדר]]&gt;1,V81,V81+1)</f>
        <v>2</v>
      </c>
      <c r="W82" s="137">
        <v>21</v>
      </c>
    </row>
    <row r="83" spans="1:23" x14ac:dyDescent="0.65">
      <c r="A83" s="96">
        <v>6</v>
      </c>
      <c r="B83" s="154">
        <v>1</v>
      </c>
      <c r="C83" s="154">
        <f t="array" ref="C83">IFERROR(INDEX(TimeTable[מס"ד],MATCH(MatchSequence[[#This Row],[מקצה]]&amp;MatchSequence[[#This Row],[שולחן]],TimeTable[מס'' הרצה 1]&amp;TimeTable[שולחן הרצה 1],0)),"")</f>
        <v>13</v>
      </c>
      <c r="D83" s="154">
        <f>INT((COUNTA($D$62:D82))/4)+$D$62</f>
        <v>18</v>
      </c>
      <c r="E83" s="164">
        <f>IF(OR(MatchSequence[[#This Row],[שולחן]]=$AA$3,MatchSequence[[#This Row],[שולחן]]=$AA$7),E82+ORM,E82)-TIME(0,0,0.1)</f>
        <v>0.45833333333333326</v>
      </c>
      <c r="F83" s="154" t="str">
        <f>_xlfn.XLOOKUP($Q83-(ROUNDUP(A83/2,0)-1)*8,Table_names[מסד],Table_names[שם מלא])</f>
        <v>6 אדום</v>
      </c>
      <c r="G83" s="154">
        <f>IFERROR(_xlfn.XLOOKUP(MatchSequence[[#This Row],[מס"ד]],TeamList[מס"ד],TeamList[מס'' הקבוצה]),"")</f>
        <v>3185</v>
      </c>
      <c r="I83" s="166" t="s">
        <v>77</v>
      </c>
      <c r="J83" s="149">
        <f>_xlfn.XLOOKUP(N,break_scheduler['# of teams],break_scheduler[Deliberation])</f>
        <v>4.1666666666666664E-2</v>
      </c>
      <c r="L83" s="154" cm="1">
        <f t="array" ref="L83">IFERROR(INDEX(TimeTable[מס"ד],MATCH(PracticeSequence[[#This Row],[מקצה]]&amp;PracticeSequence[[#This Row],[שולחן]],TimeTable[מס'' הרצת אימון]&amp;TimeTable[שולחן הרצת אימון],0)),"")</f>
        <v>30</v>
      </c>
      <c r="M83" s="154">
        <f>INT((COUNTA($M$62:M82))/4)+1</f>
        <v>6</v>
      </c>
      <c r="N83" s="164">
        <f>IF(OR(PracticeSequence[[#This Row],[שולחן]]=$AA$3,PracticeSequence[[#This Row],[שולחן]]=$AA$7),N82+PM,N82)</f>
        <v>0.38541666666666657</v>
      </c>
      <c r="O83" s="96" t="str">
        <f>_xlfn.XLOOKUP($Q83-(ROUNDUP(PracticeSequence[[#This Row],[מקצה]]/2,0)-1)*8,Table_names[מסד],Table_names[שם מלא])</f>
        <v>6 אדום</v>
      </c>
      <c r="P83" s="154">
        <f>IFERROR(_xlfn.XLOOKUP(PracticeSequence[[#This Row],[מס"ד]],TeamList[מס"ד],TeamList[מס'' הקבוצה]),"")</f>
        <v>662</v>
      </c>
      <c r="Q83" s="137">
        <v>22</v>
      </c>
      <c r="R83" s="71"/>
      <c r="S83" s="154">
        <f>IFERROR(IF(_xlfn.XLOOKUP(S82+1,TimeTable[מס"ד],TimeTable[מס'' הקבוצה])=9999,"",S82+1),"")</f>
        <v>22</v>
      </c>
      <c r="T83" s="154">
        <f t="shared" si="0"/>
        <v>1</v>
      </c>
      <c r="U83" s="164">
        <f>_xlfn.XLOOKUP(JudgingSequence[[#This Row],[מס"ד]],TimeTable[מס"ד],TimeTable[שעת שיפוט])</f>
        <v>0.46875</v>
      </c>
      <c r="V83" s="165">
        <f>IF(JudgingSequence[[#This Row],[חדר]]&gt;1,V82,V82+1)</f>
        <v>3</v>
      </c>
      <c r="W83" s="137">
        <v>22</v>
      </c>
    </row>
    <row r="84" spans="1:23" x14ac:dyDescent="0.65">
      <c r="A84" s="96">
        <v>6</v>
      </c>
      <c r="B84" s="154">
        <v>1</v>
      </c>
      <c r="C84" s="154">
        <f t="array" ref="C84">IFERROR(INDEX(TimeTable[מס"ד],MATCH(MatchSequence[[#This Row],[מקצה]]&amp;MatchSequence[[#This Row],[שולחן]],TimeTable[מס'' הרצה 1]&amp;TimeTable[שולחן הרצה 1],0)),"")</f>
        <v>7</v>
      </c>
      <c r="D84" s="154">
        <f>INT((COUNTA($D$62:D83))/4)+$D$62</f>
        <v>18</v>
      </c>
      <c r="E84" s="164">
        <f>IF(OR(MatchSequence[[#This Row],[שולחן]]=$AA$3,MatchSequence[[#This Row],[שולחן]]=$AA$7),E83+ORM,E83)-TIME(0,0,0.1)</f>
        <v>0.45833333333333326</v>
      </c>
      <c r="F84" s="154" t="str">
        <f>_xlfn.XLOOKUP($Q84-(ROUNDUP(A84/2,0)-1)*8,Table_names[מסד],Table_names[שם מלא])</f>
        <v>7 אדום</v>
      </c>
      <c r="G84" s="154">
        <f>IFERROR(_xlfn.XLOOKUP(MatchSequence[[#This Row],[מס"ד]],TeamList[מס"ד],TeamList[מס'' הקבוצה]),"")</f>
        <v>2623</v>
      </c>
      <c r="I84" s="166" t="s">
        <v>78</v>
      </c>
      <c r="J84" s="149">
        <f>_xlfn.XLOOKUP(N,break_scheduler['# of teams],break_scheduler[Final Session])</f>
        <v>2.0833333333333332E-2</v>
      </c>
      <c r="L84" s="154" cm="1">
        <f t="array" ref="L84">IFERROR(INDEX(TimeTable[מס"ד],MATCH(PracticeSequence[[#This Row],[מקצה]]&amp;PracticeSequence[[#This Row],[שולחן]],TimeTable[מס'' הרצת אימון]&amp;TimeTable[שולחן הרצת אימון],0)),"")</f>
        <v>34</v>
      </c>
      <c r="M84" s="154">
        <f>INT((COUNTA($M$62:M83))/4)+1</f>
        <v>6</v>
      </c>
      <c r="N84" s="164">
        <f>IF(OR(PracticeSequence[[#This Row],[שולחן]]=$AA$3,PracticeSequence[[#This Row],[שולחן]]=$AA$7),N83+PM,N83)</f>
        <v>0.38541666666666657</v>
      </c>
      <c r="O84" s="96" t="str">
        <f>_xlfn.XLOOKUP($Q84-(ROUNDUP(PracticeSequence[[#This Row],[מקצה]]/2,0)-1)*8,Table_names[מסד],Table_names[שם מלא])</f>
        <v>7 אדום</v>
      </c>
      <c r="P84" s="154">
        <f>IFERROR(_xlfn.XLOOKUP(PracticeSequence[[#This Row],[מס"ד]],TeamList[מס"ד],TeamList[מס'' הקבוצה]),"")</f>
        <v>2622</v>
      </c>
      <c r="Q84" s="137">
        <v>23</v>
      </c>
      <c r="R84" s="71"/>
      <c r="S84" s="154">
        <f>IFERROR(IF(_xlfn.XLOOKUP(S83+1,TimeTable[מס"ד],TimeTable[מס'' הקבוצה])=9999,"",S83+1),"")</f>
        <v>23</v>
      </c>
      <c r="T84" s="154">
        <f t="shared" si="0"/>
        <v>2</v>
      </c>
      <c r="U84" s="164">
        <f>_xlfn.XLOOKUP(JudgingSequence[[#This Row],[מס"ד]],TimeTable[מס"ד],TimeTable[שעת שיפוט])</f>
        <v>0.46875</v>
      </c>
      <c r="V84" s="165">
        <f>IF(JudgingSequence[[#This Row],[חדר]]&gt;1,V83,V83+1)</f>
        <v>3</v>
      </c>
      <c r="W84" s="137">
        <v>23</v>
      </c>
    </row>
    <row r="85" spans="1:23" x14ac:dyDescent="0.65">
      <c r="A85" s="96">
        <v>6</v>
      </c>
      <c r="B85" s="154">
        <v>1</v>
      </c>
      <c r="C85" s="154">
        <f t="array" ref="C85">IFERROR(INDEX(TimeTable[מס"ד],MATCH(MatchSequence[[#This Row],[מקצה]]&amp;MatchSequence[[#This Row],[שולחן]],TimeTable[מס'' הרצה 1]&amp;TimeTable[שולחן הרצה 1],0)),"")</f>
        <v>9</v>
      </c>
      <c r="D85" s="154">
        <f>INT((COUNTA($D$62:D84))/4)+$D$62</f>
        <v>18</v>
      </c>
      <c r="E85" s="164">
        <f>IF(OR(MatchSequence[[#This Row],[שולחן]]=$AA$3,MatchSequence[[#This Row],[שולחן]]=$AA$7),E84+ORM,E84)-TIME(0,0,0.1)</f>
        <v>0.45833333333333326</v>
      </c>
      <c r="F85" s="154" t="str">
        <f>_xlfn.XLOOKUP($Q85-(ROUNDUP(A85/2,0)-1)*8,Table_names[מסד],Table_names[שם מלא])</f>
        <v>8 אדום</v>
      </c>
      <c r="G85" s="154">
        <f>IFERROR(_xlfn.XLOOKUP(MatchSequence[[#This Row],[מס"ד]],TeamList[מס"ד],TeamList[מס'' הקבוצה]),"")</f>
        <v>588</v>
      </c>
      <c r="I85" s="166" t="s">
        <v>59</v>
      </c>
      <c r="J85" s="149">
        <f>start_judging</f>
        <v>0.36458333333333331</v>
      </c>
      <c r="L85" s="154" cm="1">
        <f t="array" ref="L85">IFERROR(INDEX(TimeTable[מס"ד],MATCH(PracticeSequence[[#This Row],[מקצה]]&amp;PracticeSequence[[#This Row],[שולחן]],TimeTable[מס'' הרצת אימון]&amp;TimeTable[שולחן הרצת אימון],0)),"")</f>
        <v>38</v>
      </c>
      <c r="M85" s="154">
        <f>INT((COUNTA($M$62:M84))/4)+1</f>
        <v>6</v>
      </c>
      <c r="N85" s="164">
        <f>IF(OR(PracticeSequence[[#This Row],[שולחן]]=$AA$3,PracticeSequence[[#This Row],[שולחן]]=$AA$7),N84+PM,N84)</f>
        <v>0.38541666666666657</v>
      </c>
      <c r="O85" s="96" t="str">
        <f>_xlfn.XLOOKUP($Q85-(ROUNDUP(PracticeSequence[[#This Row],[מקצה]]/2,0)-1)*8,Table_names[מסד],Table_names[שם מלא])</f>
        <v>8 אדום</v>
      </c>
      <c r="P85" s="154">
        <f>IFERROR(_xlfn.XLOOKUP(PracticeSequence[[#This Row],[מס"ד]],TeamList[מס"ד],TeamList[מס'' הקבוצה]),"")</f>
        <v>3340</v>
      </c>
      <c r="Q85" s="137">
        <v>24</v>
      </c>
      <c r="R85" s="71"/>
      <c r="S85" s="154">
        <f>IFERROR(IF(_xlfn.XLOOKUP(S84+1,TimeTable[מס"ד],TimeTable[מס'' הקבוצה])=9999,"",S84+1),"")</f>
        <v>24</v>
      </c>
      <c r="T85" s="154">
        <f t="shared" si="0"/>
        <v>3</v>
      </c>
      <c r="U85" s="164">
        <f>_xlfn.XLOOKUP(JudgingSequence[[#This Row],[מס"ד]],TimeTable[מס"ד],TimeTable[שעת שיפוט])</f>
        <v>0.46875</v>
      </c>
      <c r="V85" s="165">
        <f>IF(JudgingSequence[[#This Row],[חדר]]&gt;1,V84,V84+1)</f>
        <v>3</v>
      </c>
      <c r="W85" s="137">
        <v>24</v>
      </c>
    </row>
    <row r="86" spans="1:23" x14ac:dyDescent="0.65">
      <c r="A86" s="96">
        <v>7</v>
      </c>
      <c r="B86" s="154">
        <v>1</v>
      </c>
      <c r="C86" s="154">
        <f t="array" ref="C86">IFERROR(INDEX(TimeTable[מס"ד],MATCH(MatchSequence[[#This Row],[מקצה]]&amp;MatchSequence[[#This Row],[שולחן]],TimeTable[מס'' הרצה 1]&amp;TimeTable[שולחן הרצה 1],0)),"")</f>
        <v>37</v>
      </c>
      <c r="D86" s="154">
        <f>INT((COUNTA($D$62:D85))/4)+$D$62</f>
        <v>19</v>
      </c>
      <c r="E86" s="164">
        <f>IF(OR(MatchSequence[[#This Row],[שולחן]]=$AA$3,MatchSequence[[#This Row],[שולחן]]=$AA$7),E85+ORM,E85)-TIME(0,0,0.1)</f>
        <v>0.46180555555555547</v>
      </c>
      <c r="F86" s="154" t="str">
        <f>_xlfn.XLOOKUP($Q86-(ROUNDUP(A86/2,0)-1)*8,Table_names[מסד],Table_names[שם מלא])</f>
        <v>1 אדום</v>
      </c>
      <c r="G86" s="154">
        <f>IFERROR(_xlfn.XLOOKUP(MatchSequence[[#This Row],[מס"ד]],TeamList[מס"ד],TeamList[מס'' הקבוצה]),"")</f>
        <v>1300</v>
      </c>
      <c r="I86" s="166"/>
      <c r="L86" s="154" cm="1">
        <f t="array" ref="L86">IFERROR(INDEX(TimeTable[מס"ד],MATCH(PracticeSequence[[#This Row],[מקצה]]&amp;PracticeSequence[[#This Row],[שולחן]],TimeTable[מס'' הרצת אימון]&amp;TimeTable[שולחן הרצת אימון],0)),"")</f>
        <v>27</v>
      </c>
      <c r="M86" s="154">
        <f>INT((COUNTA($M$62:M85))/4)+1</f>
        <v>7</v>
      </c>
      <c r="N86" s="164">
        <f>IF(OR(PracticeSequence[[#This Row],[שולחן]]=$AA$3,PracticeSequence[[#This Row],[שולחן]]=$AA$7),N85+PM,N85)</f>
        <v>0.38958333333333323</v>
      </c>
      <c r="O86" s="96" t="str">
        <f>_xlfn.XLOOKUP($Q86-(ROUNDUP(PracticeSequence[[#This Row],[מקצה]]/2,0)-1)*8,Table_names[מסד],Table_names[שם מלא])</f>
        <v>1 אדום</v>
      </c>
      <c r="P86" s="154">
        <f>IFERROR(_xlfn.XLOOKUP(PracticeSequence[[#This Row],[מס"ד]],TeamList[מס"ד],TeamList[מס'' הקבוצה]),"")</f>
        <v>240</v>
      </c>
      <c r="Q86" s="137">
        <v>25</v>
      </c>
      <c r="R86" s="71"/>
      <c r="S86" s="154">
        <f>IFERROR(IF(_xlfn.XLOOKUP(S85+1,TimeTable[מס"ד],TimeTable[מס'' הקבוצה])=9999,"",S85+1),"")</f>
        <v>25</v>
      </c>
      <c r="T86" s="154">
        <f t="shared" si="0"/>
        <v>4</v>
      </c>
      <c r="U86" s="164">
        <f>_xlfn.XLOOKUP(JudgingSequence[[#This Row],[מס"ד]],TimeTable[מס"ד],TimeTable[שעת שיפוט])</f>
        <v>0.46875</v>
      </c>
      <c r="V86" s="165">
        <f>IF(JudgingSequence[[#This Row],[חדר]]&gt;1,V85,V85+1)</f>
        <v>3</v>
      </c>
      <c r="W86" s="137">
        <v>25</v>
      </c>
    </row>
    <row r="87" spans="1:23" ht="14.5" x14ac:dyDescent="0.65">
      <c r="A87" s="96">
        <v>7</v>
      </c>
      <c r="B87" s="154">
        <v>1</v>
      </c>
      <c r="C87" s="154">
        <f t="array" ref="C87">IFERROR(INDEX(TimeTable[מס"ד],MATCH(MatchSequence[[#This Row],[מקצה]]&amp;MatchSequence[[#This Row],[שולחן]],TimeTable[מס'' הרצה 1]&amp;TimeTable[שולחן הרצה 1],0)),"")</f>
        <v>39</v>
      </c>
      <c r="D87" s="154">
        <f>INT((COUNTA($D$62:D86))/4)+$D$62</f>
        <v>19</v>
      </c>
      <c r="E87" s="164">
        <f>IF(OR(MatchSequence[[#This Row],[שולחן]]=$AA$3,MatchSequence[[#This Row],[שולחן]]=$AA$7),E86+ORM,E86)-TIME(0,0,0.1)</f>
        <v>0.46180555555555547</v>
      </c>
      <c r="F87" s="154" t="str">
        <f>_xlfn.XLOOKUP($Q87-(ROUNDUP(A87/2,0)-1)*8,Table_names[מסד],Table_names[שם מלא])</f>
        <v>2 אדום</v>
      </c>
      <c r="G87" s="154">
        <f>IFERROR(_xlfn.XLOOKUP(MatchSequence[[#This Row],[מס"ד]],TeamList[מס"ד],TeamList[מס'' הקבוצה]),"")</f>
        <v>3128</v>
      </c>
      <c r="I87" s="162"/>
      <c r="J87" s="149"/>
      <c r="L87" s="154" cm="1">
        <f t="array" ref="L87">IFERROR(INDEX(TimeTable[מס"ד],MATCH(PracticeSequence[[#This Row],[מקצה]]&amp;PracticeSequence[[#This Row],[שולחן]],TimeTable[מס'' הרצת אימון]&amp;TimeTable[שולחן הרצת אימון],0)),"")</f>
        <v>31</v>
      </c>
      <c r="M87" s="154">
        <f>INT((COUNTA($M$62:M86))/4)+1</f>
        <v>7</v>
      </c>
      <c r="N87" s="164">
        <f>IF(OR(PracticeSequence[[#This Row],[שולחן]]=$AA$3,PracticeSequence[[#This Row],[שולחן]]=$AA$7),N86+PM,N86)</f>
        <v>0.38958333333333323</v>
      </c>
      <c r="O87" s="96" t="str">
        <f>_xlfn.XLOOKUP($Q87-(ROUNDUP(PracticeSequence[[#This Row],[מקצה]]/2,0)-1)*8,Table_names[מסד],Table_names[שם מלא])</f>
        <v>2 אדום</v>
      </c>
      <c r="P87" s="154">
        <f>IFERROR(_xlfn.XLOOKUP(PracticeSequence[[#This Row],[מס"ד]],TeamList[מס"ד],TeamList[מס'' הקבוצה]),"")</f>
        <v>1301</v>
      </c>
      <c r="Q87" s="137">
        <v>26</v>
      </c>
      <c r="R87" s="71"/>
      <c r="S87" s="154">
        <f>IFERROR(IF(_xlfn.XLOOKUP(S86+1,TimeTable[מס"ד],TimeTable[מס'' הקבוצה])=9999,"",S86+1),"")</f>
        <v>26</v>
      </c>
      <c r="T87" s="154">
        <f t="shared" si="0"/>
        <v>5</v>
      </c>
      <c r="U87" s="164">
        <f>_xlfn.XLOOKUP(JudgingSequence[[#This Row],[מס"ד]],TimeTable[מס"ד],TimeTable[שעת שיפוט])</f>
        <v>0.46875</v>
      </c>
      <c r="V87" s="165">
        <f>IF(JudgingSequence[[#This Row],[חדר]]&gt;1,V86,V86+1)</f>
        <v>3</v>
      </c>
      <c r="W87" s="137">
        <v>26</v>
      </c>
    </row>
    <row r="88" spans="1:23" ht="14.5" x14ac:dyDescent="0.65">
      <c r="A88" s="96">
        <v>7</v>
      </c>
      <c r="B88" s="154">
        <v>1</v>
      </c>
      <c r="C88" s="154">
        <f t="array" ref="C88">IFERROR(INDEX(TimeTable[מס"ד],MATCH(MatchSequence[[#This Row],[מקצה]]&amp;MatchSequence[[#This Row],[שולחן]],TimeTable[מס'' הרצה 1]&amp;TimeTable[שולחן הרצה 1],0)),"")</f>
        <v>33</v>
      </c>
      <c r="D88" s="154">
        <f>INT((COUNTA($D$62:D87))/4)+$D$62</f>
        <v>19</v>
      </c>
      <c r="E88" s="164">
        <f>IF(OR(MatchSequence[[#This Row],[שולחן]]=$AA$3,MatchSequence[[#This Row],[שולחן]]=$AA$7),E87+ORM,E87)-TIME(0,0,0.1)</f>
        <v>0.46180555555555547</v>
      </c>
      <c r="F88" s="154" t="str">
        <f>_xlfn.XLOOKUP($Q88-(ROUNDUP(A88/2,0)-1)*8,Table_names[מסד],Table_names[שם מלא])</f>
        <v>3 אדום</v>
      </c>
      <c r="G88" s="154">
        <f>IFERROR(_xlfn.XLOOKUP(MatchSequence[[#This Row],[מס"ד]],TeamList[מס"ד],TeamList[מס'' הקבוצה]),"")</f>
        <v>1324</v>
      </c>
      <c r="I88" s="162" t="s">
        <v>143</v>
      </c>
      <c r="J88" s="149">
        <f>_xlfn.XLOOKUP(N,break_scheduler['# of teams],break_scheduler[Friendly tournamernt])</f>
        <v>0.66666666666666663</v>
      </c>
      <c r="L88" s="154" cm="1">
        <f t="array" ref="L88">IFERROR(INDEX(TimeTable[מס"ד],MATCH(PracticeSequence[[#This Row],[מקצה]]&amp;PracticeSequence[[#This Row],[שולחן]],TimeTable[מס'' הרצת אימון]&amp;TimeTable[שולחן הרצת אימון],0)),"")</f>
        <v>35</v>
      </c>
      <c r="M88" s="154">
        <f>INT((COUNTA($M$62:M87))/4)+1</f>
        <v>7</v>
      </c>
      <c r="N88" s="164">
        <f>IF(OR(PracticeSequence[[#This Row],[שולחן]]=$AA$3,PracticeSequence[[#This Row],[שולחן]]=$AA$7),N87+PM,N87)</f>
        <v>0.38958333333333323</v>
      </c>
      <c r="O88" s="96" t="str">
        <f>_xlfn.XLOOKUP($Q88-(ROUNDUP(PracticeSequence[[#This Row],[מקצה]]/2,0)-1)*8,Table_names[מסד],Table_names[שם מלא])</f>
        <v>3 אדום</v>
      </c>
      <c r="P88" s="154">
        <f>IFERROR(_xlfn.XLOOKUP(PracticeSequence[[#This Row],[מס"ד]],TeamList[מס"ד],TeamList[מס'' הקבוצה]),"")</f>
        <v>1616</v>
      </c>
      <c r="Q88" s="137">
        <v>27</v>
      </c>
      <c r="R88" s="71"/>
      <c r="S88" s="154">
        <f>IFERROR(IF(_xlfn.XLOOKUP(S87+1,TimeTable[מס"ד],TimeTable[מס'' הקבוצה])=9999,"",S87+1),"")</f>
        <v>27</v>
      </c>
      <c r="T88" s="154">
        <f t="shared" si="0"/>
        <v>6</v>
      </c>
      <c r="U88" s="164">
        <f>_xlfn.XLOOKUP(JudgingSequence[[#This Row],[מס"ד]],TimeTable[מס"ד],TimeTable[שעת שיפוט])</f>
        <v>0.46875</v>
      </c>
      <c r="V88" s="165">
        <f>IF(JudgingSequence[[#This Row],[חדר]]&gt;1,V87,V87+1)</f>
        <v>3</v>
      </c>
      <c r="W88" s="137">
        <v>27</v>
      </c>
    </row>
    <row r="89" spans="1:23" x14ac:dyDescent="0.65">
      <c r="A89" s="96">
        <v>7</v>
      </c>
      <c r="B89" s="154">
        <v>1</v>
      </c>
      <c r="C89" s="154">
        <f t="array" ref="C89">IFERROR(INDEX(TimeTable[מס"ד],MATCH(MatchSequence[[#This Row],[מקצה]]&amp;MatchSequence[[#This Row],[שולחן]],TimeTable[מס'' הרצה 1]&amp;TimeTable[שולחן הרצה 1],0)),"")</f>
        <v>35</v>
      </c>
      <c r="D89" s="154">
        <f>INT((COUNTA($D$62:D88))/4)+$D$62</f>
        <v>19</v>
      </c>
      <c r="E89" s="164">
        <f>IF(OR(MatchSequence[[#This Row],[שולחן]]=$AA$3,MatchSequence[[#This Row],[שולחן]]=$AA$7),E88+ORM,E88)-TIME(0,0,0.1)</f>
        <v>0.46180555555555547</v>
      </c>
      <c r="F89" s="154" t="str">
        <f>_xlfn.XLOOKUP($Q89-(ROUNDUP(A89/2,0)-1)*8,Table_names[מסד],Table_names[שם מלא])</f>
        <v>4 אדום</v>
      </c>
      <c r="G89" s="154">
        <f>IFERROR(_xlfn.XLOOKUP(MatchSequence[[#This Row],[מס"ד]],TeamList[מס"ד],TeamList[מס'' הקבוצה]),"")</f>
        <v>1616</v>
      </c>
      <c r="I89" s="71"/>
      <c r="J89" s="71"/>
      <c r="L89" s="154" cm="1">
        <f t="array" ref="L89">IFERROR(INDEX(TimeTable[מס"ד],MATCH(PracticeSequence[[#This Row],[מקצה]]&amp;PracticeSequence[[#This Row],[שולחן]],TimeTable[מס'' הרצת אימון]&amp;TimeTable[שולחן הרצת אימון],0)),"")</f>
        <v>39</v>
      </c>
      <c r="M89" s="154">
        <f>INT((COUNTA($M$62:M88))/4)+1</f>
        <v>7</v>
      </c>
      <c r="N89" s="164">
        <f>IF(OR(PracticeSequence[[#This Row],[שולחן]]=$AA$3,PracticeSequence[[#This Row],[שולחן]]=$AA$7),N88+PM,N88)</f>
        <v>0.38958333333333323</v>
      </c>
      <c r="O89" s="96" t="str">
        <f>_xlfn.XLOOKUP($Q89-(ROUNDUP(PracticeSequence[[#This Row],[מקצה]]/2,0)-1)*8,Table_names[מסד],Table_names[שם מלא])</f>
        <v>4 אדום</v>
      </c>
      <c r="P89" s="154">
        <f>IFERROR(_xlfn.XLOOKUP(PracticeSequence[[#This Row],[מס"ד]],TeamList[מס"ד],TeamList[מס'' הקבוצה]),"")</f>
        <v>3128</v>
      </c>
      <c r="Q89" s="137">
        <v>28</v>
      </c>
      <c r="R89" s="71"/>
      <c r="S89" s="154">
        <f>IFERROR(IF(_xlfn.XLOOKUP(S88+1,TimeTable[מס"ד],TimeTable[מס'' הקבוצה])=9999,"",S88+1),"")</f>
        <v>28</v>
      </c>
      <c r="T89" s="154">
        <f t="shared" si="0"/>
        <v>7</v>
      </c>
      <c r="U89" s="164">
        <f>_xlfn.XLOOKUP(JudgingSequence[[#This Row],[מס"ד]],TimeTable[מס"ד],TimeTable[שעת שיפוט])</f>
        <v>0.46875</v>
      </c>
      <c r="V89" s="165">
        <f>IF(JudgingSequence[[#This Row],[חדר]]&gt;1,V88,V88+1)</f>
        <v>3</v>
      </c>
      <c r="W89" s="137">
        <v>28</v>
      </c>
    </row>
    <row r="90" spans="1:23" x14ac:dyDescent="0.65">
      <c r="A90" s="96">
        <v>8</v>
      </c>
      <c r="B90" s="154">
        <v>1</v>
      </c>
      <c r="C90" s="154">
        <f t="array" ref="C90">IFERROR(INDEX(TimeTable[מס"ד],MATCH(MatchSequence[[#This Row],[מקצה]]&amp;MatchSequence[[#This Row],[שולחן]],TimeTable[מס'' הרצה 1]&amp;TimeTable[שולחן הרצה 1],0)),"")</f>
        <v>38</v>
      </c>
      <c r="D90" s="154">
        <f>INT((COUNTA($D$62:D89))/4)+$D$62</f>
        <v>20</v>
      </c>
      <c r="E90" s="164">
        <f>IF(OR(MatchSequence[[#This Row],[שולחן]]=$AA$3,MatchSequence[[#This Row],[שולחן]]=$AA$7),E89+ORM,E89)-TIME(0,0,0.1)</f>
        <v>0.46527777777777768</v>
      </c>
      <c r="F90" s="154" t="str">
        <f>_xlfn.XLOOKUP($Q90-(ROUNDUP(A90/2,0)-1)*8,Table_names[מסד],Table_names[שם מלא])</f>
        <v>5 אדום</v>
      </c>
      <c r="G90" s="154">
        <f>IFERROR(_xlfn.XLOOKUP(MatchSequence[[#This Row],[מס"ד]],TeamList[מס"ד],TeamList[מס'' הקבוצה]),"")</f>
        <v>3340</v>
      </c>
      <c r="L90" s="154" cm="1">
        <f t="array" ref="L90">IFERROR(INDEX(TimeTable[מס"ד],MATCH(PracticeSequence[[#This Row],[מקצה]]&amp;PracticeSequence[[#This Row],[שולחן]],TimeTable[מס'' הרצת אימון]&amp;TimeTable[שולחן הרצת אימון],0)),"")</f>
        <v>28</v>
      </c>
      <c r="M90" s="154">
        <f>INT((COUNTA($M$62:M89))/4)+1</f>
        <v>8</v>
      </c>
      <c r="N90" s="164">
        <f>IF(OR(PracticeSequence[[#This Row],[שולחן]]=$AA$3,PracticeSequence[[#This Row],[שולחן]]=$AA$7),N89+PM,N89)</f>
        <v>0.39374999999999988</v>
      </c>
      <c r="O90" s="96" t="str">
        <f>_xlfn.XLOOKUP($Q90-(ROUNDUP(PracticeSequence[[#This Row],[מקצה]]/2,0)-1)*8,Table_names[מסד],Table_names[שם מלא])</f>
        <v>5 אדום</v>
      </c>
      <c r="P90" s="154">
        <f>IFERROR(_xlfn.XLOOKUP(PracticeSequence[[#This Row],[מס"ד]],TeamList[מס"ד],TeamList[מס'' הקבוצה]),"")</f>
        <v>1697</v>
      </c>
      <c r="Q90" s="137">
        <v>29</v>
      </c>
      <c r="R90" s="71"/>
      <c r="S90" s="154">
        <f>IFERROR(IF(_xlfn.XLOOKUP(S89+1,TimeTable[מס"ד],TimeTable[מס'' הקבוצה])=9999,"",S89+1),"")</f>
        <v>29</v>
      </c>
      <c r="T90" s="154">
        <f t="shared" si="0"/>
        <v>1</v>
      </c>
      <c r="U90" s="164">
        <f>_xlfn.XLOOKUP(JudgingSequence[[#This Row],[מס"ד]],TimeTable[מס"ד],TimeTable[שעת שיפוט])</f>
        <v>0.5</v>
      </c>
      <c r="V90" s="165">
        <f>IF(JudgingSequence[[#This Row],[חדר]]&gt;1,V89,V89+1)</f>
        <v>4</v>
      </c>
      <c r="W90" s="137">
        <v>29</v>
      </c>
    </row>
    <row r="91" spans="1:23" ht="14.5" x14ac:dyDescent="0.65">
      <c r="A91" s="96">
        <v>8</v>
      </c>
      <c r="B91" s="154">
        <v>1</v>
      </c>
      <c r="C91" s="154">
        <f t="array" ref="C91">IFERROR(INDEX(TimeTable[מס"ד],MATCH(MatchSequence[[#This Row],[מקצה]]&amp;MatchSequence[[#This Row],[שולחן]],TimeTable[מס'' הרצה 1]&amp;TimeTable[שולחן הרצה 1],0)),"")</f>
        <v>40</v>
      </c>
      <c r="D91" s="154">
        <f>INT((COUNTA($D$62:D90))/4)+$D$62</f>
        <v>20</v>
      </c>
      <c r="E91" s="164">
        <f>IF(OR(MatchSequence[[#This Row],[שולחן]]=$AA$3,MatchSequence[[#This Row],[שולחן]]=$AA$7),E90+ORM,E90)-TIME(0,0,0.1)</f>
        <v>0.46527777777777768</v>
      </c>
      <c r="F91" s="154" t="str">
        <f>_xlfn.XLOOKUP($Q91-(ROUNDUP(A91/2,0)-1)*8,Table_names[מסד],Table_names[שם מלא])</f>
        <v>6 אדום</v>
      </c>
      <c r="G91" s="154">
        <f>IFERROR(_xlfn.XLOOKUP(MatchSequence[[#This Row],[מס"ד]],TeamList[מס"ד],TeamList[מס'' הקבוצה]),"")</f>
        <v>1099</v>
      </c>
      <c r="I91" s="162" t="s">
        <v>112</v>
      </c>
      <c r="J91" s="157">
        <f>_xlfn.XLOOKUP(N,break_scheduler['# of teams],break_scheduler[Mesibotica])</f>
        <v>0.69444444444444453</v>
      </c>
      <c r="L91" s="154" cm="1">
        <f t="array" ref="L91">IFERROR(INDEX(TimeTable[מס"ד],MATCH(PracticeSequence[[#This Row],[מקצה]]&amp;PracticeSequence[[#This Row],[שולחן]],TimeTable[מס'' הרצת אימון]&amp;TimeTable[שולחן הרצת אימון],0)),"")</f>
        <v>32</v>
      </c>
      <c r="M91" s="154">
        <f>INT((COUNTA($M$62:M90))/4)+1</f>
        <v>8</v>
      </c>
      <c r="N91" s="164">
        <f>IF(OR(PracticeSequence[[#This Row],[שולחן]]=$AA$3,PracticeSequence[[#This Row],[שולחן]]=$AA$7),N90+PM,N90)</f>
        <v>0.39374999999999988</v>
      </c>
      <c r="O91" s="96" t="str">
        <f>_xlfn.XLOOKUP($Q91-(ROUNDUP(PracticeSequence[[#This Row],[מקצה]]/2,0)-1)*8,Table_names[מסד],Table_names[שם מלא])</f>
        <v>6 אדום</v>
      </c>
      <c r="P91" s="154">
        <f>IFERROR(_xlfn.XLOOKUP(PracticeSequence[[#This Row],[מס"ד]],TeamList[מס"ד],TeamList[מס'' הקבוצה]),"")</f>
        <v>3182</v>
      </c>
      <c r="Q91" s="137">
        <v>30</v>
      </c>
      <c r="R91" s="71"/>
      <c r="S91" s="154">
        <f>IFERROR(IF(_xlfn.XLOOKUP(S90+1,TimeTable[מס"ד],TimeTable[מס'' הקבוצה])=9999,"",S90+1),"")</f>
        <v>30</v>
      </c>
      <c r="T91" s="154">
        <f t="shared" si="0"/>
        <v>2</v>
      </c>
      <c r="U91" s="164">
        <f>_xlfn.XLOOKUP(JudgingSequence[[#This Row],[מס"ד]],TimeTable[מס"ד],TimeTable[שעת שיפוט])</f>
        <v>0.5</v>
      </c>
      <c r="V91" s="165">
        <f>IF(JudgingSequence[[#This Row],[חדר]]&gt;1,V90,V90+1)</f>
        <v>4</v>
      </c>
      <c r="W91" s="137">
        <v>30</v>
      </c>
    </row>
    <row r="92" spans="1:23" ht="14.5" x14ac:dyDescent="0.65">
      <c r="A92" s="96">
        <v>8</v>
      </c>
      <c r="B92" s="154">
        <v>1</v>
      </c>
      <c r="C92" s="154">
        <f t="array" ref="C92">IFERROR(INDEX(TimeTable[מס"ד],MATCH(MatchSequence[[#This Row],[מקצה]]&amp;MatchSequence[[#This Row],[שולחן]],TimeTable[מס'' הרצה 1]&amp;TimeTable[שולחן הרצה 1],0)),"")</f>
        <v>34</v>
      </c>
      <c r="D92" s="154">
        <f>INT((COUNTA($D$62:D91))/4)+$D$62</f>
        <v>20</v>
      </c>
      <c r="E92" s="164">
        <f>IF(OR(MatchSequence[[#This Row],[שולחן]]=$AA$3,MatchSequence[[#This Row],[שולחן]]=$AA$7),E91+ORM,E91)-TIME(0,0,0.1)</f>
        <v>0.46527777777777768</v>
      </c>
      <c r="F92" s="154" t="str">
        <f>_xlfn.XLOOKUP($Q92-(ROUNDUP(A92/2,0)-1)*8,Table_names[מסד],Table_names[שם מלא])</f>
        <v>7 אדום</v>
      </c>
      <c r="G92" s="154">
        <f>IFERROR(_xlfn.XLOOKUP(MatchSequence[[#This Row],[מס"ד]],TeamList[מס"ד],TeamList[מס'' הקבוצה]),"")</f>
        <v>2622</v>
      </c>
      <c r="I92" s="162" t="s">
        <v>111</v>
      </c>
      <c r="J92" s="149">
        <f>_xlfn.XLOOKUP(N,break_scheduler['# of teams],break_scheduler[Closing Ceremony])</f>
        <v>0.70833333333333315</v>
      </c>
      <c r="L92" s="154" cm="1">
        <f t="array" ref="L92">IFERROR(INDEX(TimeTable[מס"ד],MATCH(PracticeSequence[[#This Row],[מקצה]]&amp;PracticeSequence[[#This Row],[שולחן]],TimeTable[מס'' הרצת אימון]&amp;TimeTable[שולחן הרצת אימון],0)),"")</f>
        <v>36</v>
      </c>
      <c r="M92" s="154">
        <f>INT((COUNTA($M$62:M91))/4)+1</f>
        <v>8</v>
      </c>
      <c r="N92" s="164">
        <f>IF(OR(PracticeSequence[[#This Row],[שולחן]]=$AA$3,PracticeSequence[[#This Row],[שולחן]]=$AA$7),N91+PM,N91)</f>
        <v>0.39374999999999988</v>
      </c>
      <c r="O92" s="96" t="str">
        <f>_xlfn.XLOOKUP($Q92-(ROUNDUP(PracticeSequence[[#This Row],[מקצה]]/2,0)-1)*8,Table_names[מסד],Table_names[שם מלא])</f>
        <v>7 אדום</v>
      </c>
      <c r="P92" s="154">
        <f>IFERROR(_xlfn.XLOOKUP(PracticeSequence[[#This Row],[מס"ד]],TeamList[מס"ד],TeamList[מס'' הקבוצה]),"")</f>
        <v>1214</v>
      </c>
      <c r="Q92" s="137">
        <v>31</v>
      </c>
      <c r="R92" s="71"/>
      <c r="S92" s="154">
        <f>IFERROR(IF(_xlfn.XLOOKUP(S91+1,TimeTable[מס"ד],TimeTable[מס'' הקבוצה])=9999,"",S91+1),"")</f>
        <v>31</v>
      </c>
      <c r="T92" s="154">
        <f t="shared" si="0"/>
        <v>3</v>
      </c>
      <c r="U92" s="164">
        <f>_xlfn.XLOOKUP(JudgingSequence[[#This Row],[מס"ד]],TimeTable[מס"ד],TimeTable[שעת שיפוט])</f>
        <v>0.5</v>
      </c>
      <c r="V92" s="165">
        <f>IF(JudgingSequence[[#This Row],[חדר]]&gt;1,V91,V91+1)</f>
        <v>4</v>
      </c>
      <c r="W92" s="137">
        <v>31</v>
      </c>
    </row>
    <row r="93" spans="1:23" x14ac:dyDescent="0.65">
      <c r="A93" s="96">
        <v>8</v>
      </c>
      <c r="B93" s="154">
        <v>1</v>
      </c>
      <c r="C93" s="154">
        <f t="array" ref="C93">IFERROR(INDEX(TimeTable[מס"ד],MATCH(MatchSequence[[#This Row],[מקצה]]&amp;MatchSequence[[#This Row],[שולחן]],TimeTable[מס'' הרצה 1]&amp;TimeTable[שולחן הרצה 1],0)),"")</f>
        <v>36</v>
      </c>
      <c r="D93" s="154">
        <f>INT((COUNTA($D$62:D92))/4)+$D$62</f>
        <v>20</v>
      </c>
      <c r="E93" s="164">
        <f>IF(OR(MatchSequence[[#This Row],[שולחן]]=$AA$3,MatchSequence[[#This Row],[שולחן]]=$AA$7),E92+ORM,E92)-TIME(0,0,0.1)</f>
        <v>0.46527777777777768</v>
      </c>
      <c r="F93" s="154" t="str">
        <f>_xlfn.XLOOKUP($Q93-(ROUNDUP(A93/2,0)-1)*8,Table_names[מסד],Table_names[שם מלא])</f>
        <v>8 אדום</v>
      </c>
      <c r="G93" s="154">
        <f>IFERROR(_xlfn.XLOOKUP(MatchSequence[[#This Row],[מס"ד]],TeamList[מס"ד],TeamList[מס'' הקבוצה]),"")</f>
        <v>1214</v>
      </c>
      <c r="I93" s="167"/>
      <c r="L93" s="154" cm="1">
        <f t="array" ref="L93">IFERROR(INDEX(TimeTable[מס"ד],MATCH(PracticeSequence[[#This Row],[מקצה]]&amp;PracticeSequence[[#This Row],[שולחן]],TimeTable[מס'' הרצת אימון]&amp;TimeTable[שולחן הרצת אימון],0)),"")</f>
        <v>40</v>
      </c>
      <c r="M93" s="154">
        <f>INT((COUNTA($M$62:M92))/4)+1</f>
        <v>8</v>
      </c>
      <c r="N93" s="164">
        <f>IF(OR(PracticeSequence[[#This Row],[שולחן]]=$AA$3,PracticeSequence[[#This Row],[שולחן]]=$AA$7),N92+PM,N92)</f>
        <v>0.39374999999999988</v>
      </c>
      <c r="O93" s="96" t="str">
        <f>_xlfn.XLOOKUP($Q93-(ROUNDUP(PracticeSequence[[#This Row],[מקצה]]/2,0)-1)*8,Table_names[מסד],Table_names[שם מלא])</f>
        <v>8 אדום</v>
      </c>
      <c r="P93" s="154">
        <f>IFERROR(_xlfn.XLOOKUP(PracticeSequence[[#This Row],[מס"ד]],TeamList[מס"ד],TeamList[מס'' הקבוצה]),"")</f>
        <v>1099</v>
      </c>
      <c r="Q93" s="137">
        <v>32</v>
      </c>
      <c r="R93" s="71"/>
      <c r="S93" s="154">
        <f>IFERROR(IF(_xlfn.XLOOKUP(S92+1,TimeTable[מס"ד],TimeTable[מס'' הקבוצה])=9999,"",S92+1),"")</f>
        <v>32</v>
      </c>
      <c r="T93" s="154">
        <f t="shared" si="0"/>
        <v>4</v>
      </c>
      <c r="U93" s="164">
        <f>_xlfn.XLOOKUP(JudgingSequence[[#This Row],[מס"ד]],TimeTable[מס"ד],TimeTable[שעת שיפוט])</f>
        <v>0.5</v>
      </c>
      <c r="V93" s="165">
        <f>IF(JudgingSequence[[#This Row],[חדר]]&gt;1,V92,V92+1)</f>
        <v>4</v>
      </c>
      <c r="W93" s="137">
        <v>32</v>
      </c>
    </row>
    <row r="94" spans="1:23" x14ac:dyDescent="0.65">
      <c r="A94" s="96">
        <v>9</v>
      </c>
      <c r="B94" s="154">
        <v>1</v>
      </c>
      <c r="C94" s="154">
        <f t="array" ref="C94">IFERROR(INDEX(TimeTable[מס"ד],MATCH(MatchSequence[[#This Row],[מקצה]]&amp;MatchSequence[[#This Row],[שולחן]],TimeTable[מס'' הרצה 1]&amp;TimeTable[שולחן הרצה 1],0)),"")</f>
        <v>45</v>
      </c>
      <c r="D94" s="154">
        <f>INT((COUNTA($D$62:D93))/4)+$D$62</f>
        <v>21</v>
      </c>
      <c r="E94" s="164">
        <f>IF(OR(MatchSequence[[#This Row],[שולחן]]=$AA$3,MatchSequence[[#This Row],[שולחן]]=$AA$7),E93+ORM,E93)-TIME(0,0,0.1)</f>
        <v>0.46874999999999989</v>
      </c>
      <c r="F94" s="154" t="str">
        <f>_xlfn.XLOOKUP($Q94-(ROUNDUP(A94/2,0)-1)*8,Table_names[מסד],Table_names[שם מלא])</f>
        <v>1 אדום</v>
      </c>
      <c r="G94" s="154">
        <f>IFERROR(_xlfn.XLOOKUP(MatchSequence[[#This Row],[מס"ד]],TeamList[מס"ד],TeamList[מס'' הקבוצה]),"")</f>
        <v>3006</v>
      </c>
      <c r="I94" s="167"/>
      <c r="L94" s="154" cm="1">
        <f t="array" ref="L94">IFERROR(INDEX(TimeTable[מס"ד],MATCH(PracticeSequence[[#This Row],[מקצה]]&amp;PracticeSequence[[#This Row],[שולחן]],TimeTable[מס'' הרצת אימון]&amp;TimeTable[שולחן הרצת אימון],0)),"")</f>
        <v>1</v>
      </c>
      <c r="M94" s="154">
        <f>INT((COUNTA($M$62:M93))/4)+1</f>
        <v>9</v>
      </c>
      <c r="N94" s="164">
        <f>IF(OR(PracticeSequence[[#This Row],[שולחן]]=$AA$3,PracticeSequence[[#This Row],[שולחן]]=$AA$7),N93+PM,N93)</f>
        <v>0.39791666666666653</v>
      </c>
      <c r="O94" s="96" t="str">
        <f>_xlfn.XLOOKUP($Q94-(ROUNDUP(PracticeSequence[[#This Row],[מקצה]]/2,0)-1)*8,Table_names[מסד],Table_names[שם מלא])</f>
        <v>1 אדום</v>
      </c>
      <c r="P94" s="154">
        <f>IFERROR(_xlfn.XLOOKUP(PracticeSequence[[#This Row],[מס"ד]],TeamList[מס"ד],TeamList[מס'' הקבוצה]),"")</f>
        <v>3163</v>
      </c>
      <c r="Q94" s="137">
        <v>33</v>
      </c>
      <c r="R94" s="71"/>
      <c r="S94" s="154">
        <f>IFERROR(IF(_xlfn.XLOOKUP(S93+1,TimeTable[מס"ד],TimeTable[מס'' הקבוצה])=9999,"",S93+1),"")</f>
        <v>33</v>
      </c>
      <c r="T94" s="154">
        <f t="shared" si="0"/>
        <v>5</v>
      </c>
      <c r="U94" s="164">
        <f>_xlfn.XLOOKUP(JudgingSequence[[#This Row],[מס"ד]],TimeTable[מס"ד],TimeTable[שעת שיפוט])</f>
        <v>0.5</v>
      </c>
      <c r="V94" s="165">
        <f>IF(JudgingSequence[[#This Row],[חדר]]&gt;1,V93,V93+1)</f>
        <v>4</v>
      </c>
      <c r="W94" s="137">
        <v>33</v>
      </c>
    </row>
    <row r="95" spans="1:23" x14ac:dyDescent="0.65">
      <c r="A95" s="96">
        <v>9</v>
      </c>
      <c r="B95" s="154">
        <v>1</v>
      </c>
      <c r="C95" s="154">
        <f t="array" ref="C95">IFERROR(INDEX(TimeTable[מס"ד],MATCH(MatchSequence[[#This Row],[מקצה]]&amp;MatchSequence[[#This Row],[שולחן]],TimeTable[מס'' הרצה 1]&amp;TimeTable[שולחן הרצה 1],0)),"")</f>
        <v>47</v>
      </c>
      <c r="D95" s="154">
        <f>INT((COUNTA($D$62:D94))/4)+$D$62</f>
        <v>21</v>
      </c>
      <c r="E95" s="164">
        <f>IF(OR(MatchSequence[[#This Row],[שולחן]]=$AA$3,MatchSequence[[#This Row],[שולחן]]=$AA$7),E94+ORM,E94)-TIME(0,0,0.1)</f>
        <v>0.46874999999999989</v>
      </c>
      <c r="F95" s="154" t="str">
        <f>_xlfn.XLOOKUP($Q95-(ROUNDUP(A95/2,0)-1)*8,Table_names[מסד],Table_names[שם מלא])</f>
        <v>2 אדום</v>
      </c>
      <c r="G95" s="154">
        <f>IFERROR(_xlfn.XLOOKUP(MatchSequence[[#This Row],[מס"ד]],TeamList[מס"ד],TeamList[מס'' הקבוצה]),"")</f>
        <v>2843</v>
      </c>
      <c r="I95" s="167"/>
      <c r="L95" s="154" cm="1">
        <f t="array" ref="L95">IFERROR(INDEX(TimeTable[מס"ד],MATCH(PracticeSequence[[#This Row],[מקצה]]&amp;PracticeSequence[[#This Row],[שולחן]],TimeTable[מס'' הרצת אימון]&amp;TimeTable[שולחן הרצת אימון],0)),"")</f>
        <v>5</v>
      </c>
      <c r="M95" s="154">
        <f>INT((COUNTA($M$62:M94))/4)+1</f>
        <v>9</v>
      </c>
      <c r="N95" s="164">
        <f>IF(OR(PracticeSequence[[#This Row],[שולחן]]=$AA$3,PracticeSequence[[#This Row],[שולחן]]=$AA$7),N94+PM,N94)</f>
        <v>0.39791666666666653</v>
      </c>
      <c r="O95" s="96" t="str">
        <f>_xlfn.XLOOKUP($Q95-(ROUNDUP(PracticeSequence[[#This Row],[מקצה]]/2,0)-1)*8,Table_names[מסד],Table_names[שם מלא])</f>
        <v>2 אדום</v>
      </c>
      <c r="P95" s="154">
        <f>IFERROR(_xlfn.XLOOKUP(PracticeSequence[[#This Row],[מס"ד]],TeamList[מס"ד],TeamList[מס'' הקבוצה]),"")</f>
        <v>3243</v>
      </c>
      <c r="Q95" s="137">
        <v>34</v>
      </c>
      <c r="R95" s="71"/>
      <c r="S95" s="154">
        <f>IFERROR(IF(_xlfn.XLOOKUP(S94+1,TimeTable[מס"ד],TimeTable[מס'' הקבוצה])=9999,"",S94+1),"")</f>
        <v>34</v>
      </c>
      <c r="T95" s="154">
        <f t="shared" si="0"/>
        <v>6</v>
      </c>
      <c r="U95" s="164">
        <f>_xlfn.XLOOKUP(JudgingSequence[[#This Row],[מס"ד]],TimeTable[מס"ד],TimeTable[שעת שיפוט])</f>
        <v>0.5</v>
      </c>
      <c r="V95" s="165">
        <f>IF(JudgingSequence[[#This Row],[חדר]]&gt;1,V94,V94+1)</f>
        <v>4</v>
      </c>
      <c r="W95" s="137">
        <v>34</v>
      </c>
    </row>
    <row r="96" spans="1:23" x14ac:dyDescent="0.65">
      <c r="A96" s="96">
        <v>9</v>
      </c>
      <c r="B96" s="154">
        <v>1</v>
      </c>
      <c r="C96" s="154">
        <f t="array" ref="C96">IFERROR(INDEX(TimeTable[מס"ד],MATCH(MatchSequence[[#This Row],[מקצה]]&amp;MatchSequence[[#This Row],[שולחן]],TimeTable[מס'' הרצה 1]&amp;TimeTable[שולחן הרצה 1],0)),"")</f>
        <v>41</v>
      </c>
      <c r="D96" s="154">
        <f>INT((COUNTA($D$62:D95))/4)+$D$62</f>
        <v>21</v>
      </c>
      <c r="E96" s="164">
        <f>IF(OR(MatchSequence[[#This Row],[שולחן]]=$AA$3,MatchSequence[[#This Row],[שולחן]]=$AA$7),E95+ORM,E95)-TIME(0,0,0.1)</f>
        <v>0.46874999999999989</v>
      </c>
      <c r="F96" s="154" t="str">
        <f>_xlfn.XLOOKUP($Q96-(ROUNDUP(A96/2,0)-1)*8,Table_names[מסד],Table_names[שם מלא])</f>
        <v>3 אדום</v>
      </c>
      <c r="G96" s="154">
        <f>IFERROR(_xlfn.XLOOKUP(MatchSequence[[#This Row],[מס"ד]],TeamList[מס"ד],TeamList[מס'' הקבוצה]),"")</f>
        <v>3294</v>
      </c>
      <c r="I96" s="167"/>
      <c r="L96" s="154" cm="1">
        <f t="array" ref="L96">IFERROR(INDEX(TimeTable[מס"ד],MATCH(PracticeSequence[[#This Row],[מקצה]]&amp;PracticeSequence[[#This Row],[שולחן]],TimeTable[מס'' הרצת אימון]&amp;TimeTable[שולחן הרצת אימון],0)),"")</f>
        <v>41</v>
      </c>
      <c r="M96" s="154">
        <f>INT((COUNTA($M$62:M95))/4)+1</f>
        <v>9</v>
      </c>
      <c r="N96" s="164">
        <f>IF(OR(PracticeSequence[[#This Row],[שולחן]]=$AA$3,PracticeSequence[[#This Row],[שולחן]]=$AA$7),N95+PM,N95)</f>
        <v>0.39791666666666653</v>
      </c>
      <c r="O96" s="96" t="str">
        <f>_xlfn.XLOOKUP($Q96-(ROUNDUP(PracticeSequence[[#This Row],[מקצה]]/2,0)-1)*8,Table_names[מסד],Table_names[שם מלא])</f>
        <v>3 אדום</v>
      </c>
      <c r="P96" s="154">
        <f>IFERROR(_xlfn.XLOOKUP(PracticeSequence[[#This Row],[מס"ד]],TeamList[מס"ד],TeamList[מס'' הקבוצה]),"")</f>
        <v>3294</v>
      </c>
      <c r="Q96" s="137">
        <v>35</v>
      </c>
      <c r="R96" s="71"/>
      <c r="S96" s="154">
        <f>IFERROR(IF(_xlfn.XLOOKUP(S95+1,TimeTable[מס"ד],TimeTable[מס'' הקבוצה])=9999,"",S95+1),"")</f>
        <v>35</v>
      </c>
      <c r="T96" s="154">
        <f t="shared" si="0"/>
        <v>7</v>
      </c>
      <c r="U96" s="164">
        <f>_xlfn.XLOOKUP(JudgingSequence[[#This Row],[מס"ד]],TimeTable[מס"ד],TimeTable[שעת שיפוט])</f>
        <v>0.5</v>
      </c>
      <c r="V96" s="165">
        <f>IF(JudgingSequence[[#This Row],[חדר]]&gt;1,V95,V95+1)</f>
        <v>4</v>
      </c>
      <c r="W96" s="137">
        <v>35</v>
      </c>
    </row>
    <row r="97" spans="1:23" x14ac:dyDescent="0.65">
      <c r="A97" s="96">
        <v>9</v>
      </c>
      <c r="B97" s="154">
        <v>1</v>
      </c>
      <c r="C97" s="154">
        <f t="array" ref="C97">IFERROR(INDEX(TimeTable[מס"ד],MATCH(MatchSequence[[#This Row],[מקצה]]&amp;MatchSequence[[#This Row],[שולחן]],TimeTable[מס'' הרצה 1]&amp;TimeTable[שולחן הרצה 1],0)),"")</f>
        <v>43</v>
      </c>
      <c r="D97" s="154">
        <f>INT((COUNTA($D$62:D96))/4)+$D$62</f>
        <v>21</v>
      </c>
      <c r="E97" s="164">
        <f>IF(OR(MatchSequence[[#This Row],[שולחן]]=$AA$3,MatchSequence[[#This Row],[שולחן]]=$AA$7),E96+ORM,E96)-TIME(0,0,0.1)</f>
        <v>0.46874999999999989</v>
      </c>
      <c r="F97" s="154" t="str">
        <f>_xlfn.XLOOKUP($Q97-(ROUNDUP(A97/2,0)-1)*8,Table_names[מסד],Table_names[שם מלא])</f>
        <v>4 אדום</v>
      </c>
      <c r="G97" s="154">
        <f>IFERROR(_xlfn.XLOOKUP(MatchSequence[[#This Row],[מס"ד]],TeamList[מס"ד],TeamList[מס'' הקבוצה]),"")</f>
        <v>2748</v>
      </c>
      <c r="I97" s="167"/>
      <c r="L97" s="154" cm="1">
        <f t="array" ref="L97">IFERROR(INDEX(TimeTable[מס"ד],MATCH(PracticeSequence[[#This Row],[מקצה]]&amp;PracticeSequence[[#This Row],[שולחן]],TimeTable[מס'' הרצת אימון]&amp;TimeTable[שולחן הרצת אימון],0)),"")</f>
        <v>45</v>
      </c>
      <c r="M97" s="154">
        <f>INT((COUNTA($M$62:M96))/4)+1</f>
        <v>9</v>
      </c>
      <c r="N97" s="164">
        <f>IF(OR(PracticeSequence[[#This Row],[שולחן]]=$AA$3,PracticeSequence[[#This Row],[שולחן]]=$AA$7),N96+PM,N96)</f>
        <v>0.39791666666666653</v>
      </c>
      <c r="O97" s="96" t="str">
        <f>_xlfn.XLOOKUP($Q97-(ROUNDUP(PracticeSequence[[#This Row],[מקצה]]/2,0)-1)*8,Table_names[מסד],Table_names[שם מלא])</f>
        <v>4 אדום</v>
      </c>
      <c r="P97" s="154">
        <f>IFERROR(_xlfn.XLOOKUP(PracticeSequence[[#This Row],[מס"ד]],TeamList[מס"ד],TeamList[מס'' הקבוצה]),"")</f>
        <v>3006</v>
      </c>
      <c r="Q97" s="137">
        <v>36</v>
      </c>
      <c r="R97" s="71"/>
      <c r="S97" s="154">
        <f>IFERROR(IF(_xlfn.XLOOKUP(S96+1,TimeTable[מס"ד],TimeTable[מס'' הקבוצה])=9999,"",S96+1),"")</f>
        <v>36</v>
      </c>
      <c r="T97" s="154">
        <f t="shared" si="0"/>
        <v>1</v>
      </c>
      <c r="U97" s="164">
        <f>_xlfn.XLOOKUP(JudgingSequence[[#This Row],[מס"ד]],TimeTable[מס"ד],TimeTable[שעת שיפוט])</f>
        <v>0.56249999999999989</v>
      </c>
      <c r="V97" s="165">
        <f>IF(JudgingSequence[[#This Row],[חדר]]&gt;1,V96,V96+1)</f>
        <v>5</v>
      </c>
      <c r="W97" s="137">
        <v>36</v>
      </c>
    </row>
    <row r="98" spans="1:23" x14ac:dyDescent="0.65">
      <c r="A98" s="96">
        <v>10</v>
      </c>
      <c r="B98" s="154">
        <v>1</v>
      </c>
      <c r="C98" s="154">
        <f t="array" ref="C98">IFERROR(INDEX(TimeTable[מס"ד],MATCH(MatchSequence[[#This Row],[מקצה]]&amp;MatchSequence[[#This Row],[שולחן]],TimeTable[מס'' הרצה 1]&amp;TimeTable[שולחן הרצה 1],0)),"")</f>
        <v>46</v>
      </c>
      <c r="D98" s="154">
        <f>INT((COUNTA($D$62:D97))/4)+$D$62</f>
        <v>22</v>
      </c>
      <c r="E98" s="164">
        <f>IF(OR(MatchSequence[[#This Row],[שולחן]]=$AA$3,MatchSequence[[#This Row],[שולחן]]=$AA$7),E97+ORM,E97)-TIME(0,0,0.1)</f>
        <v>0.4722222222222221</v>
      </c>
      <c r="F98" s="154" t="str">
        <f>_xlfn.XLOOKUP($Q98-(ROUNDUP(A98/2,0)-1)*8,Table_names[מסד],Table_names[שם מלא])</f>
        <v>5 אדום</v>
      </c>
      <c r="G98" s="154">
        <f>IFERROR(_xlfn.XLOOKUP(MatchSequence[[#This Row],[מס"ד]],TeamList[מס"ד],TeamList[מס'' הקבוצה]),"")</f>
        <v>2130</v>
      </c>
      <c r="I98" s="167"/>
      <c r="L98" s="154" cm="1">
        <f t="array" ref="L98">IFERROR(INDEX(TimeTable[מס"ד],MATCH(PracticeSequence[[#This Row],[מקצה]]&amp;PracticeSequence[[#This Row],[שולחן]],TimeTable[מס'' הרצת אימון]&amp;TimeTable[שולחן הרצת אימון],0)),"")</f>
        <v>2</v>
      </c>
      <c r="M98" s="154">
        <f>INT((COUNTA($M$62:M97))/4)+1</f>
        <v>10</v>
      </c>
      <c r="N98" s="164">
        <f>IF(OR(PracticeSequence[[#This Row],[שולחן]]=$AA$3,PracticeSequence[[#This Row],[שולחן]]=$AA$7),N97+PM,N97)</f>
        <v>0.40208333333333318</v>
      </c>
      <c r="O98" s="96" t="str">
        <f>_xlfn.XLOOKUP($Q98-(ROUNDUP(PracticeSequence[[#This Row],[מקצה]]/2,0)-1)*8,Table_names[מסד],Table_names[שם מלא])</f>
        <v>5 אדום</v>
      </c>
      <c r="P98" s="154">
        <f>IFERROR(_xlfn.XLOOKUP(PracticeSequence[[#This Row],[מס"ד]],TeamList[מס"ד],TeamList[מס'' הקבוצה]),"")</f>
        <v>3180</v>
      </c>
      <c r="Q98" s="137">
        <v>37</v>
      </c>
      <c r="R98" s="71"/>
      <c r="S98" s="154">
        <f>IFERROR(IF(_xlfn.XLOOKUP(S97+1,TimeTable[מס"ד],TimeTable[מס'' הקבוצה])=9999,"",S97+1),"")</f>
        <v>37</v>
      </c>
      <c r="T98" s="154">
        <f t="shared" si="0"/>
        <v>2</v>
      </c>
      <c r="U98" s="164">
        <f>_xlfn.XLOOKUP(JudgingSequence[[#This Row],[מס"ד]],TimeTable[מס"ד],TimeTable[שעת שיפוט])</f>
        <v>0.56249999999999989</v>
      </c>
      <c r="V98" s="165">
        <f>IF(JudgingSequence[[#This Row],[חדר]]&gt;1,V97,V97+1)</f>
        <v>5</v>
      </c>
      <c r="W98" s="137">
        <v>37</v>
      </c>
    </row>
    <row r="99" spans="1:23" x14ac:dyDescent="0.65">
      <c r="A99" s="96">
        <v>10</v>
      </c>
      <c r="B99" s="154">
        <v>1</v>
      </c>
      <c r="C99" s="154">
        <f t="array" ref="C99">IFERROR(INDEX(TimeTable[מס"ד],MATCH(MatchSequence[[#This Row],[מקצה]]&amp;MatchSequence[[#This Row],[שולחן]],TimeTable[מס'' הרצה 1]&amp;TimeTable[שולחן הרצה 1],0)),"")</f>
        <v>48</v>
      </c>
      <c r="D99" s="154">
        <f>INT((COUNTA($D$62:D98))/4)+$D$62</f>
        <v>22</v>
      </c>
      <c r="E99" s="164">
        <f>IF(OR(MatchSequence[[#This Row],[שולחן]]=$AA$3,MatchSequence[[#This Row],[שולחן]]=$AA$7),E98+ORM,E98)-TIME(0,0,0.1)</f>
        <v>0.4722222222222221</v>
      </c>
      <c r="F99" s="154" t="str">
        <f>_xlfn.XLOOKUP($Q99-(ROUNDUP(A99/2,0)-1)*8,Table_names[מסד],Table_names[שם מלא])</f>
        <v>6 אדום</v>
      </c>
      <c r="G99" s="154">
        <f>IFERROR(_xlfn.XLOOKUP(MatchSequence[[#This Row],[מס"ד]],TeamList[מס"ד],TeamList[מס'' הקבוצה]),"")</f>
        <v>1720</v>
      </c>
      <c r="I99" s="167"/>
      <c r="L99" s="154" cm="1">
        <f t="array" ref="L99">IFERROR(INDEX(TimeTable[מס"ד],MATCH(PracticeSequence[[#This Row],[מקצה]]&amp;PracticeSequence[[#This Row],[שולחן]],TimeTable[מס'' הרצת אימון]&amp;TimeTable[שולחן הרצת אימון],0)),"")</f>
        <v>6</v>
      </c>
      <c r="M99" s="154">
        <f>INT((COUNTA($M$62:M98))/4)+1</f>
        <v>10</v>
      </c>
      <c r="N99" s="164">
        <f>IF(OR(PracticeSequence[[#This Row],[שולחן]]=$AA$3,PracticeSequence[[#This Row],[שולחן]]=$AA$7),N98+PM,N98)</f>
        <v>0.40208333333333318</v>
      </c>
      <c r="O99" s="96" t="str">
        <f>_xlfn.XLOOKUP($Q99-(ROUNDUP(PracticeSequence[[#This Row],[מקצה]]/2,0)-1)*8,Table_names[מסד],Table_names[שם מלא])</f>
        <v>6 אדום</v>
      </c>
      <c r="P99" s="154">
        <f>IFERROR(_xlfn.XLOOKUP(PracticeSequence[[#This Row],[מס"ד]],TeamList[מס"ד],TeamList[מס'' הקבוצה]),"")</f>
        <v>2954</v>
      </c>
      <c r="Q99" s="137">
        <v>38</v>
      </c>
      <c r="R99" s="71"/>
      <c r="S99" s="154">
        <f>IFERROR(IF(_xlfn.XLOOKUP(S98+1,TimeTable[מס"ד],TimeTable[מס'' הקבוצה])=9999,"",S98+1),"")</f>
        <v>38</v>
      </c>
      <c r="T99" s="154">
        <f t="shared" si="0"/>
        <v>3</v>
      </c>
      <c r="U99" s="164">
        <f>_xlfn.XLOOKUP(JudgingSequence[[#This Row],[מס"ד]],TimeTable[מס"ד],TimeTable[שעת שיפוט])</f>
        <v>0.56249999999999989</v>
      </c>
      <c r="V99" s="165">
        <f>IF(JudgingSequence[[#This Row],[חדר]]&gt;1,V98,V98+1)</f>
        <v>5</v>
      </c>
      <c r="W99" s="137">
        <v>38</v>
      </c>
    </row>
    <row r="100" spans="1:23" x14ac:dyDescent="0.65">
      <c r="A100" s="96">
        <v>10</v>
      </c>
      <c r="B100" s="154">
        <v>1</v>
      </c>
      <c r="C100" s="154">
        <f t="array" ref="C100">IFERROR(INDEX(TimeTable[מס"ד],MATCH(MatchSequence[[#This Row],[מקצה]]&amp;MatchSequence[[#This Row],[שולחן]],TimeTable[מס'' הרצה 1]&amp;TimeTable[שולחן הרצה 1],0)),"")</f>
        <v>42</v>
      </c>
      <c r="D100" s="154">
        <f>INT((COUNTA($D$62:D99))/4)+$D$62</f>
        <v>22</v>
      </c>
      <c r="E100" s="164">
        <f>IF(OR(MatchSequence[[#This Row],[שולחן]]=$AA$3,MatchSequence[[#This Row],[שולחן]]=$AA$7),E99+ORM,E99)-TIME(0,0,0.1)</f>
        <v>0.4722222222222221</v>
      </c>
      <c r="F100" s="154" t="str">
        <f>_xlfn.XLOOKUP($Q100-(ROUNDUP(A100/2,0)-1)*8,Table_names[מסד],Table_names[שם מלא])</f>
        <v>7 אדום</v>
      </c>
      <c r="G100" s="154">
        <f>IFERROR(_xlfn.XLOOKUP(MatchSequence[[#This Row],[מס"ד]],TeamList[מס"ד],TeamList[מס'' הקבוצה]),"")</f>
        <v>3184</v>
      </c>
      <c r="I100" s="167"/>
      <c r="L100" s="154" cm="1">
        <f t="array" ref="L100">IFERROR(INDEX(TimeTable[מס"ד],MATCH(PracticeSequence[[#This Row],[מקצה]]&amp;PracticeSequence[[#This Row],[שולחן]],TimeTable[מס'' הרצת אימון]&amp;TimeTable[שולחן הרצת אימון],0)),"")</f>
        <v>42</v>
      </c>
      <c r="M100" s="154">
        <f>INT((COUNTA($M$62:M99))/4)+1</f>
        <v>10</v>
      </c>
      <c r="N100" s="164">
        <f>IF(OR(PracticeSequence[[#This Row],[שולחן]]=$AA$3,PracticeSequence[[#This Row],[שולחן]]=$AA$7),N99+PM,N99)</f>
        <v>0.40208333333333318</v>
      </c>
      <c r="O100" s="96" t="str">
        <f>_xlfn.XLOOKUP($Q100-(ROUNDUP(PracticeSequence[[#This Row],[מקצה]]/2,0)-1)*8,Table_names[מסד],Table_names[שם מלא])</f>
        <v>7 אדום</v>
      </c>
      <c r="P100" s="154">
        <f>IFERROR(_xlfn.XLOOKUP(PracticeSequence[[#This Row],[מס"ד]],TeamList[מס"ד],TeamList[מס'' הקבוצה]),"")</f>
        <v>3184</v>
      </c>
      <c r="Q100" s="137">
        <v>39</v>
      </c>
      <c r="R100" s="71"/>
      <c r="S100" s="154">
        <f>IFERROR(IF(_xlfn.XLOOKUP(S99+1,TimeTable[מס"ד],TimeTable[מס'' הקבוצה])=9999,"",S99+1),"")</f>
        <v>39</v>
      </c>
      <c r="T100" s="154">
        <f t="shared" si="0"/>
        <v>4</v>
      </c>
      <c r="U100" s="164">
        <f>_xlfn.XLOOKUP(JudgingSequence[[#This Row],[מס"ד]],TimeTable[מס"ד],TimeTable[שעת שיפוט])</f>
        <v>0.56249999999999989</v>
      </c>
      <c r="V100" s="165">
        <f>IF(JudgingSequence[[#This Row],[חדר]]&gt;1,V99,V99+1)</f>
        <v>5</v>
      </c>
      <c r="W100" s="137">
        <v>39</v>
      </c>
    </row>
    <row r="101" spans="1:23" x14ac:dyDescent="0.65">
      <c r="A101" s="96">
        <v>10</v>
      </c>
      <c r="B101" s="154">
        <v>1</v>
      </c>
      <c r="C101" s="154">
        <f t="array" ref="C101">IFERROR(INDEX(TimeTable[מס"ד],MATCH(MatchSequence[[#This Row],[מקצה]]&amp;MatchSequence[[#This Row],[שולחן]],TimeTable[מס'' הרצה 1]&amp;TimeTable[שולחן הרצה 1],0)),"")</f>
        <v>44</v>
      </c>
      <c r="D101" s="154">
        <f>INT((COUNTA($D$62:D100))/4)+$D$62</f>
        <v>22</v>
      </c>
      <c r="E101" s="164">
        <f>IF(OR(MatchSequence[[#This Row],[שולחן]]=$AA$3,MatchSequence[[#This Row],[שולחן]]=$AA$7),E100+ORM,E100)-TIME(0,0,0.1)</f>
        <v>0.4722222222222221</v>
      </c>
      <c r="F101" s="154" t="str">
        <f>_xlfn.XLOOKUP($Q101-(ROUNDUP(A101/2,0)-1)*8,Table_names[מסד],Table_names[שם מלא])</f>
        <v>8 אדום</v>
      </c>
      <c r="G101" s="154">
        <f>IFERROR(_xlfn.XLOOKUP(MatchSequence[[#This Row],[מס"ד]],TeamList[מס"ד],TeamList[מס'' הקבוצה]),"")</f>
        <v>1332</v>
      </c>
      <c r="I101" s="167"/>
      <c r="L101" s="154" cm="1">
        <f t="array" ref="L101">IFERROR(INDEX(TimeTable[מס"ד],MATCH(PracticeSequence[[#This Row],[מקצה]]&amp;PracticeSequence[[#This Row],[שולחן]],TimeTable[מס'' הרצת אימון]&amp;TimeTable[שולחן הרצת אימון],0)),"")</f>
        <v>46</v>
      </c>
      <c r="M101" s="154">
        <f>INT((COUNTA($M$62:M100))/4)+1</f>
        <v>10</v>
      </c>
      <c r="N101" s="164">
        <f>IF(OR(PracticeSequence[[#This Row],[שולחן]]=$AA$3,PracticeSequence[[#This Row],[שולחן]]=$AA$7),N100+PM,N100)</f>
        <v>0.40208333333333318</v>
      </c>
      <c r="O101" s="96" t="str">
        <f>_xlfn.XLOOKUP($Q101-(ROUNDUP(PracticeSequence[[#This Row],[מקצה]]/2,0)-1)*8,Table_names[מסד],Table_names[שם מלא])</f>
        <v>8 אדום</v>
      </c>
      <c r="P101" s="154">
        <f>IFERROR(_xlfn.XLOOKUP(PracticeSequence[[#This Row],[מס"ד]],TeamList[מס"ד],TeamList[מס'' הקבוצה]),"")</f>
        <v>2130</v>
      </c>
      <c r="Q101" s="137">
        <v>40</v>
      </c>
      <c r="R101" s="71"/>
      <c r="S101" s="154">
        <f>IFERROR(IF(_xlfn.XLOOKUP(S100+1,TimeTable[מס"ד],TimeTable[מס'' הקבוצה])=9999,"",S100+1),"")</f>
        <v>40</v>
      </c>
      <c r="T101" s="154">
        <f t="shared" si="0"/>
        <v>5</v>
      </c>
      <c r="U101" s="164">
        <f>_xlfn.XLOOKUP(JudgingSequence[[#This Row],[מס"ד]],TimeTable[מס"ד],TimeTable[שעת שיפוט])</f>
        <v>0.56249999999999989</v>
      </c>
      <c r="V101" s="165">
        <f>IF(JudgingSequence[[#This Row],[חדר]]&gt;1,V100,V100+1)</f>
        <v>5</v>
      </c>
      <c r="W101" s="137">
        <v>40</v>
      </c>
    </row>
    <row r="102" spans="1:23" x14ac:dyDescent="0.65">
      <c r="A102" s="96">
        <v>11</v>
      </c>
      <c r="B102" s="154">
        <v>1</v>
      </c>
      <c r="C102" s="154">
        <f t="array" ref="C102">IFERROR(INDEX(TimeTable[מס"ד],MATCH(MatchSequence[[#This Row],[מקצה]]&amp;MatchSequence[[#This Row],[שולחן]],TimeTable[מס'' הרצה 1]&amp;TimeTable[שולחן הרצה 1],0)),"")</f>
        <v>18</v>
      </c>
      <c r="D102" s="154">
        <f>INT((COUNTA($D$62:D101))/4)+$D$62</f>
        <v>23</v>
      </c>
      <c r="E102" s="164">
        <f>IF(OR(MatchSequence[[#This Row],[שולחן]]=$AA$3,MatchSequence[[#This Row],[שולחן]]=$AA$7),E101+ORM,E101)-TIME(0,0,0.1)</f>
        <v>0.47569444444444431</v>
      </c>
      <c r="F102" s="154" t="str">
        <f>_xlfn.XLOOKUP($Q102-(ROUNDUP(A102/2,0)-1)*8,Table_names[מסד],Table_names[שם מלא])</f>
        <v>1 אדום</v>
      </c>
      <c r="G102" s="154">
        <f>IFERROR(_xlfn.XLOOKUP(MatchSequence[[#This Row],[מס"ד]],TeamList[מס"ד],TeamList[מס'' הקבוצה]),"")</f>
        <v>1043</v>
      </c>
      <c r="I102" s="167"/>
      <c r="L102" s="154" cm="1">
        <f t="array" ref="L102">IFERROR(INDEX(TimeTable[מס"ד],MATCH(PracticeSequence[[#This Row],[מקצה]]&amp;PracticeSequence[[#This Row],[שולחן]],TimeTable[מס'' הרצת אימון]&amp;TimeTable[שולחן הרצת אימון],0)),"")</f>
        <v>3</v>
      </c>
      <c r="M102" s="154">
        <f>INT((COUNTA($M$62:M101))/4)+1</f>
        <v>11</v>
      </c>
      <c r="N102" s="164">
        <f>IF(OR(PracticeSequence[[#This Row],[שולחן]]=$AA$3,PracticeSequence[[#This Row],[שולחן]]=$AA$7),N101+PM,N101)</f>
        <v>0.40624999999999983</v>
      </c>
      <c r="O102" s="96" t="str">
        <f>_xlfn.XLOOKUP($Q102-(ROUNDUP(PracticeSequence[[#This Row],[מקצה]]/2,0)-1)*8,Table_names[מסד],Table_names[שם מלא])</f>
        <v>1 אדום</v>
      </c>
      <c r="P102" s="154">
        <f>IFERROR(_xlfn.XLOOKUP(PracticeSequence[[#This Row],[מס"ד]],TeamList[מס"ד],TeamList[מס'' הקבוצה]),"")</f>
        <v>1042</v>
      </c>
      <c r="Q102" s="137">
        <v>41</v>
      </c>
      <c r="R102" s="71"/>
      <c r="S102" s="154">
        <f>IFERROR(IF(_xlfn.XLOOKUP(S101+1,TimeTable[מס"ד],TimeTable[מס'' הקבוצה])=9999,"",S101+1),"")</f>
        <v>41</v>
      </c>
      <c r="T102" s="154">
        <f t="shared" si="0"/>
        <v>6</v>
      </c>
      <c r="U102" s="164">
        <f>_xlfn.XLOOKUP(JudgingSequence[[#This Row],[מס"ד]],TimeTable[מס"ד],TimeTable[שעת שיפוט])</f>
        <v>0.56249999999999989</v>
      </c>
      <c r="V102" s="165">
        <f>IF(JudgingSequence[[#This Row],[חדר]]&gt;1,V101,V101+1)</f>
        <v>5</v>
      </c>
      <c r="W102" s="137">
        <v>41</v>
      </c>
    </row>
    <row r="103" spans="1:23" x14ac:dyDescent="0.65">
      <c r="A103" s="96">
        <v>11</v>
      </c>
      <c r="B103" s="154">
        <v>1</v>
      </c>
      <c r="C103" s="154">
        <f t="array" ref="C103">IFERROR(INDEX(TimeTable[מס"ד],MATCH(MatchSequence[[#This Row],[מקצה]]&amp;MatchSequence[[#This Row],[שולחן]],TimeTable[מס'' הרצה 1]&amp;TimeTable[שולחן הרצה 1],0)),"")</f>
        <v>20</v>
      </c>
      <c r="D103" s="154">
        <f>INT((COUNTA($D$62:D102))/4)+$D$62</f>
        <v>23</v>
      </c>
      <c r="E103" s="164">
        <f>IF(OR(MatchSequence[[#This Row],[שולחן]]=$AA$3,MatchSequence[[#This Row],[שולחן]]=$AA$7),E102+ORM,E102)-TIME(0,0,0.1)</f>
        <v>0.47569444444444431</v>
      </c>
      <c r="F103" s="154" t="str">
        <f>_xlfn.XLOOKUP($Q103-(ROUNDUP(A103/2,0)-1)*8,Table_names[מסד],Table_names[שם מלא])</f>
        <v>2 אדום</v>
      </c>
      <c r="G103" s="154">
        <f>IFERROR(_xlfn.XLOOKUP(MatchSequence[[#This Row],[מס"ד]],TeamList[מס"ד],TeamList[מס'' הקבוצה]),"")</f>
        <v>2222</v>
      </c>
      <c r="I103" s="167"/>
      <c r="L103" s="154" cm="1">
        <f t="array" ref="L103">IFERROR(INDEX(TimeTable[מס"ד],MATCH(PracticeSequence[[#This Row],[מקצה]]&amp;PracticeSequence[[#This Row],[שולחן]],TimeTable[מס'' הרצת אימון]&amp;TimeTable[שולחן הרצת אימון],0)),"")</f>
        <v>7</v>
      </c>
      <c r="M103" s="154">
        <f>INT((COUNTA($M$62:M102))/4)+1</f>
        <v>11</v>
      </c>
      <c r="N103" s="164">
        <f>IF(OR(PracticeSequence[[#This Row],[שולחן]]=$AA$3,PracticeSequence[[#This Row],[שולחן]]=$AA$7),N102+PM,N102)</f>
        <v>0.40624999999999983</v>
      </c>
      <c r="O103" s="96" t="str">
        <f>_xlfn.XLOOKUP($Q103-(ROUNDUP(PracticeSequence[[#This Row],[מקצה]]/2,0)-1)*8,Table_names[מסד],Table_names[שם מלא])</f>
        <v>2 אדום</v>
      </c>
      <c r="P103" s="154">
        <f>IFERROR(_xlfn.XLOOKUP(PracticeSequence[[#This Row],[מס"ד]],TeamList[מס"ד],TeamList[מס'' הקבוצה]),"")</f>
        <v>2623</v>
      </c>
      <c r="Q103" s="137">
        <v>42</v>
      </c>
      <c r="R103" s="71"/>
      <c r="S103" s="154">
        <f>IFERROR(IF(_xlfn.XLOOKUP(S102+1,TimeTable[מס"ד],TimeTable[מס'' הקבוצה])=9999,"",S102+1),"")</f>
        <v>42</v>
      </c>
      <c r="T103" s="154">
        <f t="shared" si="0"/>
        <v>7</v>
      </c>
      <c r="U103" s="164">
        <f>_xlfn.XLOOKUP(JudgingSequence[[#This Row],[מס"ד]],TimeTable[מס"ד],TimeTable[שעת שיפוט])</f>
        <v>0.56249999999999989</v>
      </c>
      <c r="V103" s="165">
        <f>IF(JudgingSequence[[#This Row],[חדר]]&gt;1,V102,V102+1)</f>
        <v>5</v>
      </c>
      <c r="W103" s="137">
        <v>42</v>
      </c>
    </row>
    <row r="104" spans="1:23" x14ac:dyDescent="0.65">
      <c r="A104" s="96">
        <v>11</v>
      </c>
      <c r="B104" s="154">
        <v>1</v>
      </c>
      <c r="C104" s="154">
        <f t="array" ref="C104">IFERROR(INDEX(TimeTable[מס"ד],MATCH(MatchSequence[[#This Row],[מקצה]]&amp;MatchSequence[[#This Row],[שולחן]],TimeTable[מס'' הרצה 1]&amp;TimeTable[שולחן הרצה 1],0)),"")</f>
        <v>14</v>
      </c>
      <c r="D104" s="154">
        <f>INT((COUNTA($D$62:D103))/4)+$D$62</f>
        <v>23</v>
      </c>
      <c r="E104" s="164">
        <f>IF(OR(MatchSequence[[#This Row],[שולחן]]=$AA$3,MatchSequence[[#This Row],[שולחן]]=$AA$7),E103+ORM,E103)-TIME(0,0,0.1)</f>
        <v>0.47569444444444431</v>
      </c>
      <c r="F104" s="154" t="str">
        <f>_xlfn.XLOOKUP($Q104-(ROUNDUP(A104/2,0)-1)*8,Table_names[מסד],Table_names[שם מלא])</f>
        <v>3 אדום</v>
      </c>
      <c r="G104" s="154">
        <f>IFERROR(_xlfn.XLOOKUP(MatchSequence[[#This Row],[מס"ד]],TeamList[מס"ד],TeamList[מס'' הקבוצה]),"")</f>
        <v>3179</v>
      </c>
      <c r="I104" s="167"/>
      <c r="L104" s="154" cm="1">
        <f t="array" ref="L104">IFERROR(INDEX(TimeTable[מס"ד],MATCH(PracticeSequence[[#This Row],[מקצה]]&amp;PracticeSequence[[#This Row],[שולחן]],TimeTable[מס'' הרצת אימון]&amp;TimeTable[שולחן הרצת אימון],0)),"")</f>
        <v>43</v>
      </c>
      <c r="M104" s="154">
        <f>INT((COUNTA($M$62:M103))/4)+1</f>
        <v>11</v>
      </c>
      <c r="N104" s="164">
        <f>IF(OR(PracticeSequence[[#This Row],[שולחן]]=$AA$3,PracticeSequence[[#This Row],[שולחן]]=$AA$7),N103+PM,N103)</f>
        <v>0.40624999999999983</v>
      </c>
      <c r="O104" s="96" t="str">
        <f>_xlfn.XLOOKUP($Q104-(ROUNDUP(PracticeSequence[[#This Row],[מקצה]]/2,0)-1)*8,Table_names[מסד],Table_names[שם מלא])</f>
        <v>3 אדום</v>
      </c>
      <c r="P104" s="154">
        <f>IFERROR(_xlfn.XLOOKUP(PracticeSequence[[#This Row],[מס"ד]],TeamList[מס"ד],TeamList[מס'' הקבוצה]),"")</f>
        <v>2748</v>
      </c>
      <c r="Q104" s="137">
        <v>43</v>
      </c>
      <c r="R104" s="71"/>
      <c r="S104" s="154">
        <f>IFERROR(IF(_xlfn.XLOOKUP(S103+1,TimeTable[מס"ד],TimeTable[מס'' הקבוצה])=9999,"",S103+1),"")</f>
        <v>43</v>
      </c>
      <c r="T104" s="154">
        <f t="shared" si="0"/>
        <v>1</v>
      </c>
      <c r="U104" s="164">
        <f>_xlfn.XLOOKUP(JudgingSequence[[#This Row],[מס"ד]],TimeTable[מס"ד],TimeTable[שעת שיפוט])</f>
        <v>0.59374999999999989</v>
      </c>
      <c r="V104" s="165">
        <f>IF(JudgingSequence[[#This Row],[חדר]]&gt;1,V103,V103+1)</f>
        <v>6</v>
      </c>
      <c r="W104" s="137">
        <v>43</v>
      </c>
    </row>
    <row r="105" spans="1:23" x14ac:dyDescent="0.65">
      <c r="A105" s="96">
        <v>11</v>
      </c>
      <c r="B105" s="154">
        <v>1</v>
      </c>
      <c r="C105" s="154">
        <f t="array" ref="C105">IFERROR(INDEX(TimeTable[מס"ד],MATCH(MatchSequence[[#This Row],[מקצה]]&amp;MatchSequence[[#This Row],[שולחן]],TimeTable[מס'' הרצה 1]&amp;TimeTable[שולחן הרצה 1],0)),"")</f>
        <v>16</v>
      </c>
      <c r="D105" s="154">
        <f>INT((COUNTA($D$62:D104))/4)+$D$62</f>
        <v>23</v>
      </c>
      <c r="E105" s="164">
        <f>IF(OR(MatchSequence[[#This Row],[שולחן]]=$AA$3,MatchSequence[[#This Row],[שולחן]]=$AA$7),E104+ORM,E104)-TIME(0,0,0.1)</f>
        <v>0.47569444444444431</v>
      </c>
      <c r="F105" s="154" t="str">
        <f>_xlfn.XLOOKUP($Q105-(ROUNDUP(A105/2,0)-1)*8,Table_names[מסד],Table_names[שם מלא])</f>
        <v>4 אדום</v>
      </c>
      <c r="G105" s="154">
        <f>IFERROR(_xlfn.XLOOKUP(MatchSequence[[#This Row],[מס"ד]],TeamList[מס"ד],TeamList[מס'' הקבוצה]),"")</f>
        <v>2977</v>
      </c>
      <c r="I105" s="167"/>
      <c r="L105" s="154" cm="1">
        <f t="array" ref="L105">IFERROR(INDEX(TimeTable[מס"ד],MATCH(PracticeSequence[[#This Row],[מקצה]]&amp;PracticeSequence[[#This Row],[שולחן]],TimeTable[מס'' הרצת אימון]&amp;TimeTable[שולחן הרצת אימון],0)),"")</f>
        <v>47</v>
      </c>
      <c r="M105" s="154">
        <f>INT((COUNTA($M$62:M104))/4)+1</f>
        <v>11</v>
      </c>
      <c r="N105" s="164">
        <f>IF(OR(PracticeSequence[[#This Row],[שולחן]]=$AA$3,PracticeSequence[[#This Row],[שולחן]]=$AA$7),N104+PM,N104)</f>
        <v>0.40624999999999983</v>
      </c>
      <c r="O105" s="96" t="str">
        <f>_xlfn.XLOOKUP($Q105-(ROUNDUP(PracticeSequence[[#This Row],[מקצה]]/2,0)-1)*8,Table_names[מסד],Table_names[שם מלא])</f>
        <v>4 אדום</v>
      </c>
      <c r="P105" s="154">
        <f>IFERROR(_xlfn.XLOOKUP(PracticeSequence[[#This Row],[מס"ד]],TeamList[מס"ד],TeamList[מס'' הקבוצה]),"")</f>
        <v>2843</v>
      </c>
      <c r="Q105" s="137">
        <v>44</v>
      </c>
      <c r="R105" s="71"/>
      <c r="S105" s="154">
        <f>IFERROR(IF(_xlfn.XLOOKUP(S104+1,TimeTable[מס"ד],TimeTable[מס'' הקבוצה])=9999,"",S104+1),"")</f>
        <v>44</v>
      </c>
      <c r="T105" s="154">
        <f t="shared" si="0"/>
        <v>2</v>
      </c>
      <c r="U105" s="164">
        <f>_xlfn.XLOOKUP(JudgingSequence[[#This Row],[מס"ד]],TimeTable[מס"ד],TimeTable[שעת שיפוט])</f>
        <v>0.59374999999999989</v>
      </c>
      <c r="V105" s="165">
        <f>IF(JudgingSequence[[#This Row],[חדר]]&gt;1,V104,V104+1)</f>
        <v>6</v>
      </c>
      <c r="W105" s="137">
        <v>44</v>
      </c>
    </row>
    <row r="106" spans="1:23" x14ac:dyDescent="0.65">
      <c r="A106" s="96">
        <v>12</v>
      </c>
      <c r="B106" s="154">
        <v>1</v>
      </c>
      <c r="C106" s="154">
        <f t="array" ref="C106">IFERROR(INDEX(TimeTable[מס"ד],MATCH(MatchSequence[[#This Row],[מקצה]]&amp;MatchSequence[[#This Row],[שולחן]],TimeTable[מס'' הרצה 1]&amp;TimeTable[שולחן הרצה 1],0)),"")</f>
        <v>19</v>
      </c>
      <c r="D106" s="154">
        <f>INT((COUNTA($D$62:D105))/4)+$D$62</f>
        <v>24</v>
      </c>
      <c r="E106" s="164">
        <f>IF(OR(MatchSequence[[#This Row],[שולחן]]=$AA$3,MatchSequence[[#This Row],[שולחן]]=$AA$7),E105+ORM,E105)-TIME(0,0,0.1)</f>
        <v>0.47916666666666652</v>
      </c>
      <c r="F106" s="154" t="str">
        <f>_xlfn.XLOOKUP($Q106-(ROUNDUP(A106/2,0)-1)*8,Table_names[מסד],Table_names[שם מלא])</f>
        <v>5 אדום</v>
      </c>
      <c r="G106" s="154">
        <f>IFERROR(_xlfn.XLOOKUP(MatchSequence[[#This Row],[מס"ד]],TeamList[מס"ד],TeamList[מס'' הקבוצה]),"")</f>
        <v>341</v>
      </c>
      <c r="I106" s="167"/>
      <c r="L106" s="154" cm="1">
        <f t="array" ref="L106">IFERROR(INDEX(TimeTable[מס"ד],MATCH(PracticeSequence[[#This Row],[מקצה]]&amp;PracticeSequence[[#This Row],[שולחן]],TimeTable[מס'' הרצת אימון]&amp;TimeTable[שולחן הרצת אימון],0)),"")</f>
        <v>4</v>
      </c>
      <c r="M106" s="154">
        <f>INT((COUNTA($M$62:M105))/4)+1</f>
        <v>12</v>
      </c>
      <c r="N106" s="164">
        <f>IF(OR(PracticeSequence[[#This Row],[שולחן]]=$AA$3,PracticeSequence[[#This Row],[שולחן]]=$AA$7),N105+PM,N105)</f>
        <v>0.41041666666666649</v>
      </c>
      <c r="O106" s="96" t="str">
        <f>_xlfn.XLOOKUP($Q106-(ROUNDUP(PracticeSequence[[#This Row],[מקצה]]/2,0)-1)*8,Table_names[מסד],Table_names[שם מלא])</f>
        <v>5 אדום</v>
      </c>
      <c r="P106" s="154">
        <f>IFERROR(_xlfn.XLOOKUP(PracticeSequence[[#This Row],[מס"ד]],TeamList[מס"ד],TeamList[מס'' הקבוצה]),"")</f>
        <v>1825</v>
      </c>
      <c r="Q106" s="137">
        <v>45</v>
      </c>
      <c r="R106" s="71"/>
      <c r="S106" s="154">
        <f>IFERROR(IF(_xlfn.XLOOKUP(S105+1,TimeTable[מס"ד],TimeTable[מס'' הקבוצה])=9999,"",S105+1),"")</f>
        <v>45</v>
      </c>
      <c r="T106" s="154">
        <f t="shared" si="0"/>
        <v>3</v>
      </c>
      <c r="U106" s="164">
        <f>_xlfn.XLOOKUP(JudgingSequence[[#This Row],[מס"ד]],TimeTable[מס"ד],TimeTable[שעת שיפוט])</f>
        <v>0.59374999999999989</v>
      </c>
      <c r="V106" s="165">
        <f>IF(JudgingSequence[[#This Row],[חדר]]&gt;1,V105,V105+1)</f>
        <v>6</v>
      </c>
      <c r="W106" s="137">
        <v>45</v>
      </c>
    </row>
    <row r="107" spans="1:23" x14ac:dyDescent="0.65">
      <c r="A107" s="96">
        <v>12</v>
      </c>
      <c r="B107" s="154">
        <v>1</v>
      </c>
      <c r="C107" s="154">
        <f t="array" ref="C107">IFERROR(INDEX(TimeTable[מס"ד],MATCH(MatchSequence[[#This Row],[מקצה]]&amp;MatchSequence[[#This Row],[שולחן]],TimeTable[מס'' הרצה 1]&amp;TimeTable[שולחן הרצה 1],0)),"")</f>
        <v>21</v>
      </c>
      <c r="D107" s="154">
        <f>INT((COUNTA($D$62:D106))/4)+$D$62</f>
        <v>24</v>
      </c>
      <c r="E107" s="164">
        <f>IF(OR(MatchSequence[[#This Row],[שולחן]]=$AA$3,MatchSequence[[#This Row],[שולחן]]=$AA$7),E106+ORM,E106)-TIME(0,0,0.1)</f>
        <v>0.47916666666666652</v>
      </c>
      <c r="F107" s="154" t="str">
        <f>_xlfn.XLOOKUP($Q107-(ROUNDUP(A107/2,0)-1)*8,Table_names[מסד],Table_names[שם מלא])</f>
        <v>6 אדום</v>
      </c>
      <c r="G107" s="154">
        <f>IFERROR(_xlfn.XLOOKUP(MatchSequence[[#This Row],[מס"ד]],TeamList[מס"ד],TeamList[מס'' הקבוצה]),"")</f>
        <v>3181</v>
      </c>
      <c r="I107" s="167"/>
      <c r="L107" s="154" cm="1">
        <f t="array" ref="L107">IFERROR(INDEX(TimeTable[מס"ד],MATCH(PracticeSequence[[#This Row],[מקצה]]&amp;PracticeSequence[[#This Row],[שולחן]],TimeTable[מס'' הרצת אימון]&amp;TimeTable[שולחן הרצת אימון],0)),"")</f>
        <v>16</v>
      </c>
      <c r="M107" s="154">
        <f>INT((COUNTA($M$62:M106))/4)+1</f>
        <v>12</v>
      </c>
      <c r="N107" s="164">
        <f>IF(OR(PracticeSequence[[#This Row],[שולחן]]=$AA$3,PracticeSequence[[#This Row],[שולחן]]=$AA$7),N106+PM,N106)</f>
        <v>0.41041666666666649</v>
      </c>
      <c r="O107" s="96" t="str">
        <f>_xlfn.XLOOKUP($Q107-(ROUNDUP(PracticeSequence[[#This Row],[מקצה]]/2,0)-1)*8,Table_names[מסד],Table_names[שם מלא])</f>
        <v>6 אדום</v>
      </c>
      <c r="P107" s="154">
        <f>IFERROR(_xlfn.XLOOKUP(PracticeSequence[[#This Row],[מס"ד]],TeamList[מס"ד],TeamList[מס'' הקבוצה]),"")</f>
        <v>2977</v>
      </c>
      <c r="Q107" s="137">
        <v>46</v>
      </c>
      <c r="R107" s="71"/>
      <c r="S107" s="154">
        <f>IFERROR(IF(_xlfn.XLOOKUP(S106+1,TimeTable[מס"ד],TimeTable[מס'' הקבוצה])=9999,"",S106+1),"")</f>
        <v>46</v>
      </c>
      <c r="T107" s="154">
        <f t="shared" si="0"/>
        <v>4</v>
      </c>
      <c r="U107" s="164">
        <f>_xlfn.XLOOKUP(JudgingSequence[[#This Row],[מס"ד]],TimeTable[מס"ד],TimeTable[שעת שיפוט])</f>
        <v>0.59374999999999989</v>
      </c>
      <c r="V107" s="165">
        <f>IF(JudgingSequence[[#This Row],[חדר]]&gt;1,V106,V106+1)</f>
        <v>6</v>
      </c>
      <c r="W107" s="137">
        <v>46</v>
      </c>
    </row>
    <row r="108" spans="1:23" x14ac:dyDescent="0.65">
      <c r="A108" s="96">
        <v>12</v>
      </c>
      <c r="B108" s="154">
        <v>1</v>
      </c>
      <c r="C108" s="154">
        <f t="array" ref="C108">IFERROR(INDEX(TimeTable[מס"ד],MATCH(MatchSequence[[#This Row],[מקצה]]&amp;MatchSequence[[#This Row],[שולחן]],TimeTable[מס'' הרצה 1]&amp;TimeTable[שולחן הרצה 1],0)),"")</f>
        <v>15</v>
      </c>
      <c r="D108" s="154">
        <f>INT((COUNTA($D$62:D107))/4)+$D$62</f>
        <v>24</v>
      </c>
      <c r="E108" s="164">
        <f>IF(OR(MatchSequence[[#This Row],[שולחן]]=$AA$3,MatchSequence[[#This Row],[שולחן]]=$AA$7),E107+ORM,E107)-TIME(0,0,0.1)</f>
        <v>0.47916666666666652</v>
      </c>
      <c r="F108" s="154" t="str">
        <f>_xlfn.XLOOKUP($Q108-(ROUNDUP(A108/2,0)-1)*8,Table_names[מסד],Table_names[שם מלא])</f>
        <v>7 אדום</v>
      </c>
      <c r="G108" s="154">
        <f>IFERROR(_xlfn.XLOOKUP(MatchSequence[[#This Row],[מס"ד]],TeamList[מס"ד],TeamList[מס'' הקבוצה]),"")</f>
        <v>3146</v>
      </c>
      <c r="I108" s="167"/>
      <c r="L108" s="154" cm="1">
        <f t="array" ref="L108">IFERROR(INDEX(TimeTable[מס"ד],MATCH(PracticeSequence[[#This Row],[מקצה]]&amp;PracticeSequence[[#This Row],[שולחן]],TimeTable[מס'' הרצת אימון]&amp;TimeTable[שולחן הרצת אימון],0)),"")</f>
        <v>44</v>
      </c>
      <c r="M108" s="154">
        <f>INT((COUNTA($M$62:M107))/4)+1</f>
        <v>12</v>
      </c>
      <c r="N108" s="164">
        <f>IF(OR(PracticeSequence[[#This Row],[שולחן]]=$AA$3,PracticeSequence[[#This Row],[שולחן]]=$AA$7),N107+PM,N107)</f>
        <v>0.41041666666666649</v>
      </c>
      <c r="O108" s="96" t="str">
        <f>_xlfn.XLOOKUP($Q108-(ROUNDUP(PracticeSequence[[#This Row],[מקצה]]/2,0)-1)*8,Table_names[מסד],Table_names[שם מלא])</f>
        <v>7 אדום</v>
      </c>
      <c r="P108" s="154">
        <f>IFERROR(_xlfn.XLOOKUP(PracticeSequence[[#This Row],[מס"ד]],TeamList[מס"ד],TeamList[מס'' הקבוצה]),"")</f>
        <v>1332</v>
      </c>
      <c r="Q108" s="137">
        <v>47</v>
      </c>
      <c r="R108" s="71"/>
      <c r="S108" s="154">
        <f>IFERROR(IF(_xlfn.XLOOKUP(S107+1,TimeTable[מס"ד],TimeTable[מס'' הקבוצה])=9999,"",S107+1),"")</f>
        <v>47</v>
      </c>
      <c r="T108" s="154">
        <f t="shared" si="0"/>
        <v>5</v>
      </c>
      <c r="U108" s="164">
        <f>_xlfn.XLOOKUP(JudgingSequence[[#This Row],[מס"ד]],TimeTable[מס"ד],TimeTable[שעת שיפוט])</f>
        <v>0.59374999999999989</v>
      </c>
      <c r="V108" s="165">
        <f>IF(JudgingSequence[[#This Row],[חדר]]&gt;1,V107,V107+1)</f>
        <v>6</v>
      </c>
      <c r="W108" s="137">
        <v>47</v>
      </c>
    </row>
    <row r="109" spans="1:23" x14ac:dyDescent="0.65">
      <c r="A109" s="96">
        <v>12</v>
      </c>
      <c r="B109" s="154">
        <v>1</v>
      </c>
      <c r="C109" s="154">
        <f t="array" ref="C109">IFERROR(INDEX(TimeTable[מס"ד],MATCH(MatchSequence[[#This Row],[מקצה]]&amp;MatchSequence[[#This Row],[שולחן]],TimeTable[מס'' הרצה 1]&amp;TimeTable[שולחן הרצה 1],0)),"")</f>
        <v>17</v>
      </c>
      <c r="D109" s="154">
        <f>INT((COUNTA($D$62:D108))/4)+$D$62</f>
        <v>24</v>
      </c>
      <c r="E109" s="164">
        <f>IF(OR(MatchSequence[[#This Row],[שולחן]]=$AA$3,MatchSequence[[#This Row],[שולחן]]=$AA$7),E108+ORM,E108)-TIME(0,0,0.1)</f>
        <v>0.47916666666666652</v>
      </c>
      <c r="F109" s="154" t="str">
        <f>_xlfn.XLOOKUP($Q109-(ROUNDUP(A109/2,0)-1)*8,Table_names[מסד],Table_names[שם מלא])</f>
        <v>8 אדום</v>
      </c>
      <c r="G109" s="154">
        <f>IFERROR(_xlfn.XLOOKUP(MatchSequence[[#This Row],[מס"ד]],TeamList[מס"ד],TeamList[מס'' הקבוצה]),"")</f>
        <v>1083</v>
      </c>
      <c r="I109" s="167"/>
      <c r="L109" s="154" cm="1">
        <f t="array" ref="L109">IFERROR(INDEX(TimeTable[מס"ד],MATCH(PracticeSequence[[#This Row],[מקצה]]&amp;PracticeSequence[[#This Row],[שולחן]],TimeTable[מס'' הרצת אימון]&amp;TimeTable[שולחן הרצת אימון],0)),"")</f>
        <v>48</v>
      </c>
      <c r="M109" s="154">
        <f>INT((COUNTA($M$62:M108))/4)+1</f>
        <v>12</v>
      </c>
      <c r="N109" s="164">
        <f>IF(OR(PracticeSequence[[#This Row],[שולחן]]=$AA$3,PracticeSequence[[#This Row],[שולחן]]=$AA$7),N108+PM,N108)</f>
        <v>0.41041666666666649</v>
      </c>
      <c r="O109" s="96" t="str">
        <f>_xlfn.XLOOKUP($Q109-(ROUNDUP(PracticeSequence[[#This Row],[מקצה]]/2,0)-1)*8,Table_names[מסד],Table_names[שם מלא])</f>
        <v>8 אדום</v>
      </c>
      <c r="P109" s="154">
        <f>IFERROR(_xlfn.XLOOKUP(PracticeSequence[[#This Row],[מס"ד]],TeamList[מס"ד],TeamList[מס'' הקבוצה]),"")</f>
        <v>1720</v>
      </c>
      <c r="Q109" s="137">
        <v>48</v>
      </c>
      <c r="R109" s="71"/>
      <c r="S109" s="154">
        <f>IFERROR(IF(_xlfn.XLOOKUP(S108+1,TimeTable[מס"ד],TimeTable[מס'' הקבוצה])=9999,"",S108+1),"")</f>
        <v>48</v>
      </c>
      <c r="T109" s="154">
        <f t="shared" si="0"/>
        <v>6</v>
      </c>
      <c r="U109" s="164">
        <f>_xlfn.XLOOKUP(JudgingSequence[[#This Row],[מס"ד]],TimeTable[מס"ד],TimeTable[שעת שיפוט])</f>
        <v>0.59374999999999989</v>
      </c>
      <c r="V109" s="165">
        <f>IF(JudgingSequence[[#This Row],[חדר]]&gt;1,V108,V108+1)</f>
        <v>6</v>
      </c>
      <c r="W109" s="137">
        <v>48</v>
      </c>
    </row>
    <row r="110" spans="1:23" x14ac:dyDescent="0.65">
      <c r="B110" s="154"/>
      <c r="C110" s="154"/>
      <c r="D110" s="154"/>
      <c r="E110" s="164"/>
      <c r="F110" s="154"/>
      <c r="G110" s="154"/>
      <c r="I110" s="167"/>
      <c r="L110" s="154"/>
      <c r="M110" s="154"/>
      <c r="N110" s="164"/>
      <c r="O110" s="96"/>
      <c r="P110" s="154"/>
      <c r="Q110" s="137">
        <v>49</v>
      </c>
      <c r="R110" s="71"/>
      <c r="S110" s="154"/>
      <c r="T110" s="154"/>
      <c r="U110" s="164"/>
      <c r="V110" s="165"/>
      <c r="W110" s="137">
        <v>49</v>
      </c>
    </row>
    <row r="111" spans="1:23" x14ac:dyDescent="0.65">
      <c r="B111" s="154"/>
      <c r="C111" s="154"/>
      <c r="D111" s="154"/>
      <c r="E111" s="164"/>
      <c r="F111" s="154"/>
      <c r="G111" s="154"/>
      <c r="I111" s="167"/>
      <c r="L111" s="154"/>
      <c r="M111" s="154"/>
      <c r="N111" s="164"/>
      <c r="O111" s="96"/>
      <c r="P111" s="154"/>
      <c r="Q111" s="137">
        <v>50</v>
      </c>
      <c r="R111" s="71"/>
      <c r="S111" s="154"/>
      <c r="T111" s="154"/>
      <c r="U111" s="164"/>
      <c r="V111" s="165"/>
      <c r="W111" s="137">
        <v>50</v>
      </c>
    </row>
    <row r="112" spans="1:23" x14ac:dyDescent="0.65">
      <c r="B112" s="154"/>
      <c r="C112" s="154"/>
      <c r="D112" s="154"/>
      <c r="E112" s="164"/>
      <c r="F112" s="154"/>
      <c r="G112" s="154"/>
      <c r="I112" s="167"/>
      <c r="L112" s="154"/>
      <c r="M112" s="154"/>
      <c r="N112" s="164"/>
      <c r="O112" s="96"/>
      <c r="P112" s="154"/>
      <c r="Q112" s="137">
        <v>51</v>
      </c>
      <c r="R112" s="71"/>
      <c r="S112" s="154"/>
      <c r="T112" s="154"/>
      <c r="U112" s="164"/>
      <c r="V112" s="165"/>
      <c r="W112" s="137">
        <v>51</v>
      </c>
    </row>
    <row r="113" spans="1:23" x14ac:dyDescent="0.65">
      <c r="B113" s="154"/>
      <c r="C113" s="154"/>
      <c r="D113" s="154"/>
      <c r="E113" s="164"/>
      <c r="F113" s="154"/>
      <c r="G113" s="154"/>
      <c r="I113" s="167"/>
      <c r="L113" s="154"/>
      <c r="M113" s="154"/>
      <c r="N113" s="164"/>
      <c r="O113" s="96"/>
      <c r="P113" s="154"/>
      <c r="Q113" s="137">
        <v>52</v>
      </c>
      <c r="R113" s="71"/>
      <c r="S113" s="154"/>
      <c r="T113" s="154"/>
      <c r="U113" s="164"/>
      <c r="V113" s="165"/>
      <c r="W113" s="137">
        <v>52</v>
      </c>
    </row>
    <row r="114" spans="1:23" x14ac:dyDescent="0.65">
      <c r="B114" s="154"/>
      <c r="C114" s="154"/>
      <c r="D114" s="154"/>
      <c r="E114" s="164"/>
      <c r="F114" s="154"/>
      <c r="G114" s="154"/>
      <c r="I114" s="167"/>
      <c r="L114" s="154"/>
      <c r="M114" s="154"/>
      <c r="N114" s="164"/>
      <c r="O114" s="96"/>
      <c r="P114" s="154"/>
      <c r="Q114" s="137">
        <v>53</v>
      </c>
      <c r="R114" s="71"/>
      <c r="S114" s="154"/>
      <c r="T114" s="154"/>
      <c r="U114" s="164"/>
      <c r="V114" s="165"/>
      <c r="W114" s="137">
        <v>53</v>
      </c>
    </row>
    <row r="115" spans="1:23" x14ac:dyDescent="0.65">
      <c r="B115" s="154"/>
      <c r="C115" s="154"/>
      <c r="D115" s="154"/>
      <c r="E115" s="164"/>
      <c r="F115" s="154"/>
      <c r="G115" s="154"/>
      <c r="I115" s="167"/>
      <c r="L115" s="154"/>
      <c r="M115" s="154"/>
      <c r="N115" s="164"/>
      <c r="O115" s="96"/>
      <c r="P115" s="154"/>
      <c r="Q115" s="137">
        <v>54</v>
      </c>
      <c r="R115" s="71"/>
      <c r="S115" s="154"/>
      <c r="T115" s="154"/>
      <c r="U115" s="164"/>
      <c r="V115" s="165"/>
      <c r="W115" s="137">
        <v>54</v>
      </c>
    </row>
    <row r="116" spans="1:23" x14ac:dyDescent="0.65">
      <c r="B116" s="154"/>
      <c r="C116" s="154"/>
      <c r="D116" s="154"/>
      <c r="E116" s="164"/>
      <c r="F116" s="154"/>
      <c r="G116" s="154"/>
      <c r="I116" s="167"/>
      <c r="L116" s="154"/>
      <c r="M116" s="154"/>
      <c r="N116" s="164"/>
      <c r="O116" s="96"/>
      <c r="P116" s="154"/>
      <c r="Q116" s="137">
        <v>55</v>
      </c>
      <c r="R116" s="71"/>
      <c r="S116" s="154"/>
      <c r="T116" s="154"/>
      <c r="U116" s="164"/>
      <c r="V116" s="165"/>
      <c r="W116" s="137">
        <v>55</v>
      </c>
    </row>
    <row r="117" spans="1:23" x14ac:dyDescent="0.65">
      <c r="B117" s="154"/>
      <c r="C117" s="154"/>
      <c r="D117" s="154"/>
      <c r="E117" s="164"/>
      <c r="F117" s="154"/>
      <c r="G117" s="154"/>
      <c r="I117" s="167"/>
      <c r="L117" s="154"/>
      <c r="M117" s="154"/>
      <c r="N117" s="164"/>
      <c r="O117" s="96"/>
      <c r="P117" s="154"/>
      <c r="Q117" s="137">
        <v>56</v>
      </c>
      <c r="R117" s="71"/>
      <c r="S117" s="154"/>
      <c r="T117" s="154"/>
      <c r="U117" s="164"/>
      <c r="V117" s="165"/>
      <c r="W117" s="137">
        <v>56</v>
      </c>
    </row>
    <row r="118" spans="1:23" x14ac:dyDescent="0.65">
      <c r="B118" s="71"/>
      <c r="C118" s="71"/>
      <c r="D118" s="71"/>
      <c r="E118" s="71"/>
      <c r="F118" s="71"/>
      <c r="G118" s="71"/>
      <c r="H118" s="96"/>
      <c r="I118" s="71"/>
      <c r="J118" s="167"/>
      <c r="K118" s="96"/>
      <c r="L118" s="157"/>
      <c r="M118" s="79"/>
      <c r="N118" s="96"/>
      <c r="O118" s="157"/>
      <c r="P118" s="79"/>
      <c r="R118" s="96"/>
      <c r="S118" s="157"/>
      <c r="T118" s="96"/>
      <c r="V118" s="79"/>
    </row>
    <row r="119" spans="1:23" ht="14.5" x14ac:dyDescent="0.7">
      <c r="B119" s="171" t="s">
        <v>74</v>
      </c>
      <c r="C119" s="172" t="s">
        <v>55</v>
      </c>
      <c r="D119" s="173" t="s">
        <v>30</v>
      </c>
      <c r="E119" s="174" t="s">
        <v>36</v>
      </c>
      <c r="F119" s="173" t="s">
        <v>56</v>
      </c>
      <c r="G119" s="175" t="s">
        <v>57</v>
      </c>
      <c r="I119" s="167"/>
    </row>
    <row r="120" spans="1:23" x14ac:dyDescent="0.65">
      <c r="A120" s="96">
        <v>1</v>
      </c>
      <c r="B120" s="154">
        <v>2</v>
      </c>
      <c r="C120" s="154">
        <f t="array" ref="C120">IFERROR(INDEX(TimeTable[מס"ד],MATCH(Table9[[#This Row],[מקצה]]&amp;Table9[[#This Row],[שולחן]],TimeTable[מס'' הרצה 2]&amp;TimeTable[שולחן הרצה 2],0)),"")</f>
        <v>10</v>
      </c>
      <c r="D120" s="154">
        <f>_xlfn.XLOOKUP(N,break_scheduler['# of teams],break_scheduler[Round matches])*Table9[[#This Row],[Round]]+1</f>
        <v>25</v>
      </c>
      <c r="E120" s="164">
        <f>start_round_II</f>
        <v>0.51388888888888884</v>
      </c>
      <c r="F120" s="96" t="str">
        <f>_xlfn.XLOOKUP($Q62-(ROUNDUP(A120/2,0)-1)*8,Table_names[מסד],Table_names[שם מלא])</f>
        <v>1 אדום</v>
      </c>
      <c r="G120" s="154">
        <f>IFERROR(_xlfn.XLOOKUP(Table9[[#This Row],[מס"ד]],TeamList[מס"ד],TeamList[מס'' הקבוצה]),"")</f>
        <v>1371</v>
      </c>
      <c r="I120" s="167"/>
    </row>
    <row r="121" spans="1:23" x14ac:dyDescent="0.65">
      <c r="A121" s="96">
        <v>1</v>
      </c>
      <c r="B121" s="154">
        <v>2</v>
      </c>
      <c r="C121" s="154">
        <f t="array" ref="C121">IFERROR(INDEX(TimeTable[מס"ד],MATCH(Table9[[#This Row],[מקצה]]&amp;Table9[[#This Row],[שולחן]],TimeTable[מס'' הרצה 2]&amp;TimeTable[שולחן הרצה 2],0)),"")</f>
        <v>7</v>
      </c>
      <c r="D121" s="154">
        <f>INT((COUNTA($D$120:D120))/4)+$D$120</f>
        <v>25</v>
      </c>
      <c r="E121" s="164">
        <f>IF(OR(Table9[[#This Row],[שולחן]]=$AA$3,Table9[[#This Row],[שולחן]]=$AA$7),E120+ORM,E120)</f>
        <v>0.51388888888888884</v>
      </c>
      <c r="F121" s="96" t="str">
        <f>_xlfn.XLOOKUP($Q63-(ROUNDUP(A121/2,0)-1)*8,Table_names[מסד],Table_names[שם מלא])</f>
        <v>2 אדום</v>
      </c>
      <c r="G121" s="154">
        <f>IFERROR(_xlfn.XLOOKUP(Table9[[#This Row],[מס"ד]],TeamList[מס"ד],TeamList[מס'' הקבוצה]),"")</f>
        <v>2623</v>
      </c>
      <c r="I121" s="71"/>
    </row>
    <row r="122" spans="1:23" x14ac:dyDescent="0.65">
      <c r="A122" s="96">
        <v>1</v>
      </c>
      <c r="B122" s="154">
        <v>2</v>
      </c>
      <c r="C122" s="154">
        <f t="array" ref="C122">IFERROR(INDEX(TimeTable[מס"ד],MATCH(Table9[[#This Row],[מקצה]]&amp;Table9[[#This Row],[שולחן]],TimeTable[מס'' הרצה 2]&amp;TimeTable[שולחן הרצה 2],0)),"")</f>
        <v>4</v>
      </c>
      <c r="D122" s="154">
        <f>INT((COUNTA($D$120:D121))/4)+$D$120</f>
        <v>25</v>
      </c>
      <c r="E122" s="164">
        <f>IF(OR(Table9[[#This Row],[שולחן]]=$AA$3,Table9[[#This Row],[שולחן]]=$AA$7),E121+ORM,E121)</f>
        <v>0.51388888888888884</v>
      </c>
      <c r="F122" s="96" t="str">
        <f>_xlfn.XLOOKUP($Q64-(ROUNDUP(A122/2,0)-1)*8,Table_names[מסד],Table_names[שם מלא])</f>
        <v>3 אדום</v>
      </c>
      <c r="G122" s="154">
        <f>IFERROR(_xlfn.XLOOKUP(Table9[[#This Row],[מס"ד]],TeamList[מס"ד],TeamList[מס'' הקבוצה]),"")</f>
        <v>1825</v>
      </c>
      <c r="I122" s="167"/>
    </row>
    <row r="123" spans="1:23" x14ac:dyDescent="0.65">
      <c r="A123" s="96">
        <v>1</v>
      </c>
      <c r="B123" s="154">
        <v>2</v>
      </c>
      <c r="C123" s="154">
        <f t="array" ref="C123">IFERROR(INDEX(TimeTable[מס"ד],MATCH(Table9[[#This Row],[מקצה]]&amp;Table9[[#This Row],[שולחן]],TimeTable[מס'' הרצה 2]&amp;TimeTable[שולחן הרצה 2],0)),"")</f>
        <v>1</v>
      </c>
      <c r="D123" s="154">
        <f>INT((COUNTA($D$120:D122))/4)+$D$120</f>
        <v>25</v>
      </c>
      <c r="E123" s="164">
        <f>IF(OR(Table9[[#This Row],[שולחן]]=$AA$3,Table9[[#This Row],[שולחן]]=$AA$7),E122+ORM,E122)</f>
        <v>0.51388888888888884</v>
      </c>
      <c r="F123" s="96" t="str">
        <f>_xlfn.XLOOKUP($Q65-(ROUNDUP(A123/2,0)-1)*8,Table_names[מסד],Table_names[שם מלא])</f>
        <v>4 אדום</v>
      </c>
      <c r="G123" s="154">
        <f>IFERROR(_xlfn.XLOOKUP(Table9[[#This Row],[מס"ד]],TeamList[מס"ד],TeamList[מס'' הקבוצה]),"")</f>
        <v>3163</v>
      </c>
      <c r="I123" s="167"/>
    </row>
    <row r="124" spans="1:23" x14ac:dyDescent="0.65">
      <c r="A124" s="96">
        <v>2</v>
      </c>
      <c r="B124" s="154">
        <v>2</v>
      </c>
      <c r="C124" s="154">
        <f t="array" ref="C124">IFERROR(INDEX(TimeTable[מס"ד],MATCH(Table9[[#This Row],[מקצה]]&amp;Table9[[#This Row],[שולחן]],TimeTable[מס'' הרצה 2]&amp;TimeTable[שולחן הרצה 2],0)),"")</f>
        <v>11</v>
      </c>
      <c r="D124" s="154">
        <f>INT((COUNTA($D$120:D123))/4)+$D$120</f>
        <v>26</v>
      </c>
      <c r="E124" s="164">
        <f>IF(OR(Table9[[#This Row],[שולחן]]=$AA$3,Table9[[#This Row],[שולחן]]=$AA$7),E123+ORM,E123)</f>
        <v>0.51736111111111105</v>
      </c>
      <c r="F124" s="96" t="str">
        <f>_xlfn.XLOOKUP($Q66-(ROUNDUP(A124/2,0)-1)*8,Table_names[מסד],Table_names[שם מלא])</f>
        <v>5 אדום</v>
      </c>
      <c r="G124" s="154">
        <f>IFERROR(_xlfn.XLOOKUP(Table9[[#This Row],[מס"ד]],TeamList[מס"ד],TeamList[מס'' הקבוצה]),"")</f>
        <v>3139</v>
      </c>
      <c r="I124" s="167"/>
    </row>
    <row r="125" spans="1:23" x14ac:dyDescent="0.65">
      <c r="A125" s="96">
        <v>2</v>
      </c>
      <c r="B125" s="154">
        <v>2</v>
      </c>
      <c r="C125" s="154">
        <f t="array" ref="C125">IFERROR(INDEX(TimeTable[מס"ד],MATCH(Table9[[#This Row],[מקצה]]&amp;Table9[[#This Row],[שולחן]],TimeTable[מס'' הרצה 2]&amp;TimeTable[שולחן הרצה 2],0)),"")</f>
        <v>8</v>
      </c>
      <c r="D125" s="154">
        <f>INT((COUNTA($D$120:D124))/4)+$D$120</f>
        <v>26</v>
      </c>
      <c r="E125" s="164">
        <f>IF(OR(Table9[[#This Row],[שולחן]]=$AA$3,Table9[[#This Row],[שולחן]]=$AA$7),E124+ORM,E124)</f>
        <v>0.51736111111111105</v>
      </c>
      <c r="F125" s="96" t="str">
        <f>_xlfn.XLOOKUP($Q67-(ROUNDUP(A125/2,0)-1)*8,Table_names[מסד],Table_names[שם מלא])</f>
        <v>6 אדום</v>
      </c>
      <c r="G125" s="154">
        <f>IFERROR(_xlfn.XLOOKUP(Table9[[#This Row],[מס"ד]],TeamList[מס"ד],TeamList[מס'' הקבוצה]),"")</f>
        <v>2978</v>
      </c>
      <c r="I125" s="167"/>
    </row>
    <row r="126" spans="1:23" x14ac:dyDescent="0.65">
      <c r="A126" s="96">
        <v>2</v>
      </c>
      <c r="B126" s="154">
        <v>2</v>
      </c>
      <c r="C126" s="154">
        <f t="array" ref="C126">IFERROR(INDEX(TimeTable[מס"ד],MATCH(Table9[[#This Row],[מקצה]]&amp;Table9[[#This Row],[שולחן]],TimeTable[מס'' הרצה 2]&amp;TimeTable[שולחן הרצה 2],0)),"")</f>
        <v>5</v>
      </c>
      <c r="D126" s="154">
        <f>INT((COUNTA($D$120:D125))/4)+$D$120</f>
        <v>26</v>
      </c>
      <c r="E126" s="164">
        <f>IF(OR(Table9[[#This Row],[שולחן]]=$AA$3,Table9[[#This Row],[שולחן]]=$AA$7),E125+ORM,E125)</f>
        <v>0.51736111111111105</v>
      </c>
      <c r="F126" s="96" t="str">
        <f>_xlfn.XLOOKUP($Q68-(ROUNDUP(A126/2,0)-1)*8,Table_names[מסד],Table_names[שם מלא])</f>
        <v>7 אדום</v>
      </c>
      <c r="G126" s="154">
        <f>IFERROR(_xlfn.XLOOKUP(Table9[[#This Row],[מס"ד]],TeamList[מס"ד],TeamList[מס'' הקבוצה]),"")</f>
        <v>3243</v>
      </c>
      <c r="I126" s="167"/>
    </row>
    <row r="127" spans="1:23" x14ac:dyDescent="0.65">
      <c r="A127" s="96">
        <v>2</v>
      </c>
      <c r="B127" s="154">
        <v>2</v>
      </c>
      <c r="C127" s="154">
        <f t="array" ref="C127">IFERROR(INDEX(TimeTable[מס"ד],MATCH(Table9[[#This Row],[מקצה]]&amp;Table9[[#This Row],[שולחן]],TimeTable[מס'' הרצה 2]&amp;TimeTable[שולחן הרצה 2],0)),"")</f>
        <v>2</v>
      </c>
      <c r="D127" s="154">
        <f>INT((COUNTA($D$120:D126))/4)+$D$120</f>
        <v>26</v>
      </c>
      <c r="E127" s="164">
        <f>IF(OR(Table9[[#This Row],[שולחן]]=$AA$3,Table9[[#This Row],[שולחן]]=$AA$7),E126+ORM,E126)</f>
        <v>0.51736111111111105</v>
      </c>
      <c r="F127" s="96" t="str">
        <f>_xlfn.XLOOKUP($Q69-(ROUNDUP(A127/2,0)-1)*8,Table_names[מסד],Table_names[שם מלא])</f>
        <v>8 אדום</v>
      </c>
      <c r="G127" s="154">
        <f>IFERROR(_xlfn.XLOOKUP(Table9[[#This Row],[מס"ד]],TeamList[מס"ד],TeamList[מס'' הקבוצה]),"")</f>
        <v>3180</v>
      </c>
      <c r="H127" s="154"/>
      <c r="I127" s="167"/>
    </row>
    <row r="128" spans="1:23" x14ac:dyDescent="0.65">
      <c r="A128" s="96">
        <v>3</v>
      </c>
      <c r="B128" s="154">
        <v>2</v>
      </c>
      <c r="C128" s="154">
        <f t="array" ref="C128">IFERROR(INDEX(TimeTable[מס"ד],MATCH(Table9[[#This Row],[מקצה]]&amp;Table9[[#This Row],[שולחן]],TimeTable[מס'' הרצה 2]&amp;TimeTable[שולחן הרצה 2],0)),"")</f>
        <v>12</v>
      </c>
      <c r="D128" s="154">
        <f>INT((COUNTA($D$120:D127))/4)+$D$120</f>
        <v>27</v>
      </c>
      <c r="E128" s="164">
        <f>IF(OR(Table9[[#This Row],[שולחן]]=$AA$3,Table9[[#This Row],[שולחן]]=$AA$7),E127+ORM,E127)</f>
        <v>0.52083333333333326</v>
      </c>
      <c r="F128" s="96" t="str">
        <f>_xlfn.XLOOKUP($Q70-(ROUNDUP(A128/2,0)-1)*8,Table_names[מסד],Table_names[שם מלא])</f>
        <v>1 אדום</v>
      </c>
      <c r="G128" s="154">
        <f>IFERROR(_xlfn.XLOOKUP(Table9[[#This Row],[מס"ד]],TeamList[מס"ד],TeamList[מס'' הקבוצה]),"")</f>
        <v>515</v>
      </c>
      <c r="I128" s="167"/>
    </row>
    <row r="129" spans="1:9" x14ac:dyDescent="0.65">
      <c r="A129" s="96">
        <v>3</v>
      </c>
      <c r="B129" s="154">
        <v>2</v>
      </c>
      <c r="C129" s="154">
        <f t="array" ref="C129">IFERROR(INDEX(TimeTable[מס"ד],MATCH(Table9[[#This Row],[מקצה]]&amp;Table9[[#This Row],[שולחן]],TimeTable[מס'' הרצה 2]&amp;TimeTable[שולחן הרצה 2],0)),"")</f>
        <v>9</v>
      </c>
      <c r="D129" s="154">
        <f>INT((COUNTA($D$120:D128))/4)+$D$120</f>
        <v>27</v>
      </c>
      <c r="E129" s="164">
        <f>IF(OR(Table9[[#This Row],[שולחן]]=$AA$3,Table9[[#This Row],[שולחן]]=$AA$7),E128+ORM,E128)</f>
        <v>0.52083333333333326</v>
      </c>
      <c r="F129" s="96" t="str">
        <f>_xlfn.XLOOKUP($Q71-(ROUNDUP(A129/2,0)-1)*8,Table_names[מסד],Table_names[שם מלא])</f>
        <v>2 אדום</v>
      </c>
      <c r="G129" s="154">
        <f>IFERROR(_xlfn.XLOOKUP(Table9[[#This Row],[מס"ד]],TeamList[מס"ד],TeamList[מס'' הקבוצה]),"")</f>
        <v>588</v>
      </c>
      <c r="I129" s="167"/>
    </row>
    <row r="130" spans="1:9" x14ac:dyDescent="0.65">
      <c r="A130" s="96">
        <v>3</v>
      </c>
      <c r="B130" s="154">
        <v>2</v>
      </c>
      <c r="C130" s="154">
        <f t="array" ref="C130">IFERROR(INDEX(TimeTable[מס"ד],MATCH(Table9[[#This Row],[מקצה]]&amp;Table9[[#This Row],[שולחן]],TimeTable[מס'' הרצה 2]&amp;TimeTable[שולחן הרצה 2],0)),"")</f>
        <v>6</v>
      </c>
      <c r="D130" s="154">
        <f>INT((COUNTA($D$120:D129))/4)+$D$120</f>
        <v>27</v>
      </c>
      <c r="E130" s="164">
        <f>IF(OR(Table9[[#This Row],[שולחן]]=$AA$3,Table9[[#This Row],[שולחן]]=$AA$7),E129+ORM,E129)</f>
        <v>0.52083333333333326</v>
      </c>
      <c r="F130" s="96" t="str">
        <f>_xlfn.XLOOKUP($Q72-(ROUNDUP(A130/2,0)-1)*8,Table_names[מסד],Table_names[שם מלא])</f>
        <v>3 אדום</v>
      </c>
      <c r="G130" s="154">
        <f>IFERROR(_xlfn.XLOOKUP(Table9[[#This Row],[מס"ד]],TeamList[מס"ד],TeamList[מס'' הקבוצה]),"")</f>
        <v>2954</v>
      </c>
      <c r="I130" s="167"/>
    </row>
    <row r="131" spans="1:9" x14ac:dyDescent="0.65">
      <c r="A131" s="96">
        <v>3</v>
      </c>
      <c r="B131" s="154">
        <v>2</v>
      </c>
      <c r="C131" s="154">
        <f t="array" ref="C131">IFERROR(INDEX(TimeTable[מס"ד],MATCH(Table9[[#This Row],[מקצה]]&amp;Table9[[#This Row],[שולחן]],TimeTable[מס'' הרצה 2]&amp;TimeTable[שולחן הרצה 2],0)),"")</f>
        <v>3</v>
      </c>
      <c r="D131" s="154">
        <f>INT((COUNTA($D$120:D130))/4)+$D$120</f>
        <v>27</v>
      </c>
      <c r="E131" s="164">
        <f>IF(OR(Table9[[#This Row],[שולחן]]=$AA$3,Table9[[#This Row],[שולחן]]=$AA$7),E130+ORM,E130)</f>
        <v>0.52083333333333326</v>
      </c>
      <c r="F131" s="96" t="str">
        <f>_xlfn.XLOOKUP($Q73-(ROUNDUP(A131/2,0)-1)*8,Table_names[מסד],Table_names[שם מלא])</f>
        <v>4 אדום</v>
      </c>
      <c r="G131" s="154">
        <f>IFERROR(_xlfn.XLOOKUP(Table9[[#This Row],[מס"ד]],TeamList[מס"ד],TeamList[מס'' הקבוצה]),"")</f>
        <v>1042</v>
      </c>
      <c r="I131" s="167"/>
    </row>
    <row r="132" spans="1:9" x14ac:dyDescent="0.65">
      <c r="A132" s="96">
        <v>4</v>
      </c>
      <c r="B132" s="154">
        <v>2</v>
      </c>
      <c r="C132" s="154">
        <f t="array" ref="C132">IFERROR(INDEX(TimeTable[מס"ד],MATCH(Table9[[#This Row],[מקצה]]&amp;Table9[[#This Row],[שולחן]],TimeTable[מס'' הרצה 2]&amp;TimeTable[שולחן הרצה 2],0)),"")</f>
        <v>22</v>
      </c>
      <c r="D132" s="154">
        <f>INT((COUNTA($D$120:D131))/4)+$D$120</f>
        <v>28</v>
      </c>
      <c r="E132" s="164">
        <f>IF(OR(Table9[[#This Row],[שולחן]]=$AA$3,Table9[[#This Row],[שולחן]]=$AA$7),E131+ORM,E131)</f>
        <v>0.52430555555555547</v>
      </c>
      <c r="F132" s="96" t="str">
        <f>_xlfn.XLOOKUP($Q74-(ROUNDUP(A132/2,0)-1)*8,Table_names[מסד],Table_names[שם מלא])</f>
        <v>5 אדום</v>
      </c>
      <c r="G132" s="154">
        <f>IFERROR(_xlfn.XLOOKUP(Table9[[#This Row],[מס"ד]],TeamList[מס"ד],TeamList[מס'' הקבוצה]),"")</f>
        <v>3022</v>
      </c>
      <c r="I132" s="167"/>
    </row>
    <row r="133" spans="1:9" x14ac:dyDescent="0.65">
      <c r="A133" s="96">
        <v>4</v>
      </c>
      <c r="B133" s="154">
        <v>2</v>
      </c>
      <c r="C133" s="154">
        <f t="array" ref="C133">IFERROR(INDEX(TimeTable[מס"ד],MATCH(Table9[[#This Row],[מקצה]]&amp;Table9[[#This Row],[שולחן]],TimeTable[מס'' הרצה 2]&amp;TimeTable[שולחן הרצה 2],0)),"")</f>
        <v>19</v>
      </c>
      <c r="D133" s="154">
        <f>INT((COUNTA($D$120:D132))/4)+$D$120</f>
        <v>28</v>
      </c>
      <c r="E133" s="164">
        <f>IF(OR(Table9[[#This Row],[שולחן]]=$AA$3,Table9[[#This Row],[שולחן]]=$AA$7),E132+ORM,E132)</f>
        <v>0.52430555555555547</v>
      </c>
      <c r="F133" s="96" t="str">
        <f>_xlfn.XLOOKUP($Q75-(ROUNDUP(A133/2,0)-1)*8,Table_names[מסד],Table_names[שם מלא])</f>
        <v>6 אדום</v>
      </c>
      <c r="G133" s="154">
        <f>IFERROR(_xlfn.XLOOKUP(Table9[[#This Row],[מס"ד]],TeamList[מס"ד],TeamList[מס'' הקבוצה]),"")</f>
        <v>341</v>
      </c>
      <c r="I133" s="167"/>
    </row>
    <row r="134" spans="1:9" x14ac:dyDescent="0.65">
      <c r="A134" s="96">
        <v>4</v>
      </c>
      <c r="B134" s="154">
        <v>2</v>
      </c>
      <c r="C134" s="154">
        <f t="array" ref="C134">IFERROR(INDEX(TimeTable[מס"ד],MATCH(Table9[[#This Row],[מקצה]]&amp;Table9[[#This Row],[שולחן]],TimeTable[מס'' הרצה 2]&amp;TimeTable[שולחן הרצה 2],0)),"")</f>
        <v>16</v>
      </c>
      <c r="D134" s="154">
        <f>INT((COUNTA($D$120:D133))/4)+$D$120</f>
        <v>28</v>
      </c>
      <c r="E134" s="164">
        <f>IF(OR(Table9[[#This Row],[שולחן]]=$AA$3,Table9[[#This Row],[שולחן]]=$AA$7),E133+ORM,E133)</f>
        <v>0.52430555555555547</v>
      </c>
      <c r="F134" s="96" t="str">
        <f>_xlfn.XLOOKUP($Q76-(ROUNDUP(A134/2,0)-1)*8,Table_names[מסד],Table_names[שם מלא])</f>
        <v>7 אדום</v>
      </c>
      <c r="G134" s="154">
        <f>IFERROR(_xlfn.XLOOKUP(Table9[[#This Row],[מס"ד]],TeamList[מס"ד],TeamList[מס'' הקבוצה]),"")</f>
        <v>2977</v>
      </c>
      <c r="I134" s="167"/>
    </row>
    <row r="135" spans="1:9" x14ac:dyDescent="0.65">
      <c r="A135" s="96">
        <v>4</v>
      </c>
      <c r="B135" s="154">
        <v>2</v>
      </c>
      <c r="C135" s="154">
        <f t="array" ref="C135">IFERROR(INDEX(TimeTable[מס"ד],MATCH(Table9[[#This Row],[מקצה]]&amp;Table9[[#This Row],[שולחן]],TimeTable[מס'' הרצה 2]&amp;TimeTable[שולחן הרצה 2],0)),"")</f>
        <v>13</v>
      </c>
      <c r="D135" s="154">
        <f>INT((COUNTA($D$120:D134))/4)+$D$120</f>
        <v>28</v>
      </c>
      <c r="E135" s="164">
        <f>IF(OR(Table9[[#This Row],[שולחן]]=$AA$3,Table9[[#This Row],[שולחן]]=$AA$7),E134+ORM,E134)</f>
        <v>0.52430555555555547</v>
      </c>
      <c r="F135" s="96" t="str">
        <f>_xlfn.XLOOKUP($Q77-(ROUNDUP(A135/2,0)-1)*8,Table_names[מסד],Table_names[שם מלא])</f>
        <v>8 אדום</v>
      </c>
      <c r="G135" s="154">
        <f>IFERROR(_xlfn.XLOOKUP(Table9[[#This Row],[מס"ד]],TeamList[מס"ד],TeamList[מס'' הקבוצה]),"")</f>
        <v>3185</v>
      </c>
      <c r="I135" s="167"/>
    </row>
    <row r="136" spans="1:9" x14ac:dyDescent="0.65">
      <c r="A136" s="96">
        <v>5</v>
      </c>
      <c r="B136" s="154">
        <v>2</v>
      </c>
      <c r="C136" s="154">
        <f t="array" ref="C136">IFERROR(INDEX(TimeTable[מס"ד],MATCH(Table9[[#This Row],[מקצה]]&amp;Table9[[#This Row],[שולחן]],TimeTable[מס'' הרצה 2]&amp;TimeTable[שולחן הרצה 2],0)),"")</f>
        <v>23</v>
      </c>
      <c r="D136" s="154">
        <f>INT((COUNTA($D$120:D135))/4)+$D$120</f>
        <v>29</v>
      </c>
      <c r="E136" s="164">
        <f>IF(OR(Table9[[#This Row],[שולחן]]=$AA$3,Table9[[#This Row],[שולחן]]=$AA$7),E135+ORM,E135)</f>
        <v>0.52777777777777768</v>
      </c>
      <c r="F136" s="96" t="str">
        <f>_xlfn.XLOOKUP($Q78-(ROUNDUP(A136/2,0)-1)*8,Table_names[מסד],Table_names[שם מלא])</f>
        <v>1 אדום</v>
      </c>
      <c r="G136" s="154">
        <f>IFERROR(_xlfn.XLOOKUP(Table9[[#This Row],[מס"ד]],TeamList[מס"ד],TeamList[מס'' הקבוצה]),"")</f>
        <v>1152</v>
      </c>
      <c r="I136" s="167"/>
    </row>
    <row r="137" spans="1:9" x14ac:dyDescent="0.65">
      <c r="A137" s="96">
        <v>5</v>
      </c>
      <c r="B137" s="154">
        <v>2</v>
      </c>
      <c r="C137" s="154">
        <f t="array" ref="C137">IFERROR(INDEX(TimeTable[מס"ד],MATCH(Table9[[#This Row],[מקצה]]&amp;Table9[[#This Row],[שולחן]],TimeTable[מס'' הרצה 2]&amp;TimeTable[שולחן הרצה 2],0)),"")</f>
        <v>20</v>
      </c>
      <c r="D137" s="154">
        <f>INT((COUNTA($D$120:D136))/4)+$D$120</f>
        <v>29</v>
      </c>
      <c r="E137" s="164">
        <f>IF(OR(Table9[[#This Row],[שולחן]]=$AA$3,Table9[[#This Row],[שולחן]]=$AA$7),E136+ORM,E136)</f>
        <v>0.52777777777777768</v>
      </c>
      <c r="F137" s="96" t="str">
        <f>_xlfn.XLOOKUP($Q79-(ROUNDUP(A137/2,0)-1)*8,Table_names[מסד],Table_names[שם מלא])</f>
        <v>2 אדום</v>
      </c>
      <c r="G137" s="154">
        <f>IFERROR(_xlfn.XLOOKUP(Table9[[#This Row],[מס"ד]],TeamList[מס"ד],TeamList[מס'' הקבוצה]),"")</f>
        <v>2222</v>
      </c>
      <c r="I137" s="167"/>
    </row>
    <row r="138" spans="1:9" x14ac:dyDescent="0.65">
      <c r="A138" s="96">
        <v>5</v>
      </c>
      <c r="B138" s="154">
        <v>2</v>
      </c>
      <c r="C138" s="154">
        <f t="array" ref="C138">IFERROR(INDEX(TimeTable[מס"ד],MATCH(Table9[[#This Row],[מקצה]]&amp;Table9[[#This Row],[שולחן]],TimeTable[מס'' הרצה 2]&amp;TimeTable[שולחן הרצה 2],0)),"")</f>
        <v>17</v>
      </c>
      <c r="D138" s="154">
        <f>INT((COUNTA($D$120:D137))/4)+$D$120</f>
        <v>29</v>
      </c>
      <c r="E138" s="164">
        <f>IF(OR(Table9[[#This Row],[שולחן]]=$AA$3,Table9[[#This Row],[שולחן]]=$AA$7),E137+ORM,E137)</f>
        <v>0.52777777777777768</v>
      </c>
      <c r="F138" s="96" t="str">
        <f>_xlfn.XLOOKUP($Q80-(ROUNDUP(A138/2,0)-1)*8,Table_names[מסד],Table_names[שם מלא])</f>
        <v>3 אדום</v>
      </c>
      <c r="G138" s="154">
        <f>IFERROR(_xlfn.XLOOKUP(Table9[[#This Row],[מס"ד]],TeamList[מס"ד],TeamList[מס'' הקבוצה]),"")</f>
        <v>1083</v>
      </c>
      <c r="I138" s="167"/>
    </row>
    <row r="139" spans="1:9" x14ac:dyDescent="0.65">
      <c r="A139" s="96">
        <v>5</v>
      </c>
      <c r="B139" s="154">
        <v>2</v>
      </c>
      <c r="C139" s="154">
        <f t="array" ref="C139">IFERROR(INDEX(TimeTable[מס"ד],MATCH(Table9[[#This Row],[מקצה]]&amp;Table9[[#This Row],[שולחן]],TimeTable[מס'' הרצה 2]&amp;TimeTable[שולחן הרצה 2],0)),"")</f>
        <v>14</v>
      </c>
      <c r="D139" s="154">
        <f>INT((COUNTA($D$120:D138))/4)+$D$120</f>
        <v>29</v>
      </c>
      <c r="E139" s="164">
        <f>IF(OR(Table9[[#This Row],[שולחן]]=$AA$3,Table9[[#This Row],[שולחן]]=$AA$7),E138+ORM,E138)</f>
        <v>0.52777777777777768</v>
      </c>
      <c r="F139" s="96" t="str">
        <f>_xlfn.XLOOKUP($Q81-(ROUNDUP(A139/2,0)-1)*8,Table_names[מסד],Table_names[שם מלא])</f>
        <v>4 אדום</v>
      </c>
      <c r="G139" s="154">
        <f>IFERROR(_xlfn.XLOOKUP(Table9[[#This Row],[מס"ד]],TeamList[מס"ד],TeamList[מס'' הקבוצה]),"")</f>
        <v>3179</v>
      </c>
      <c r="I139" s="167"/>
    </row>
    <row r="140" spans="1:9" x14ac:dyDescent="0.65">
      <c r="A140" s="96">
        <v>6</v>
      </c>
      <c r="B140" s="154">
        <v>2</v>
      </c>
      <c r="C140" s="154">
        <f t="array" ref="C140">IFERROR(INDEX(TimeTable[מס"ד],MATCH(Table9[[#This Row],[מקצה]]&amp;Table9[[#This Row],[שולחן]],TimeTable[מס'' הרצה 2]&amp;TimeTable[שולחן הרצה 2],0)),"")</f>
        <v>24</v>
      </c>
      <c r="D140" s="154">
        <f>INT((COUNTA($D$120:D139))/4)+$D$120</f>
        <v>30</v>
      </c>
      <c r="E140" s="164">
        <f>IF(OR(Table9[[#This Row],[שולחן]]=$AA$3,Table9[[#This Row],[שולחן]]=$AA$7),E139+ORM,E139)</f>
        <v>0.53124999999999989</v>
      </c>
      <c r="F140" s="96" t="str">
        <f>_xlfn.XLOOKUP($Q82-(ROUNDUP(A140/2,0)-1)*8,Table_names[מסד],Table_names[שם מלא])</f>
        <v>5 אדום</v>
      </c>
      <c r="G140" s="154">
        <f>IFERROR(_xlfn.XLOOKUP(Table9[[#This Row],[מס"ד]],TeamList[מס"ד],TeamList[מס'' הקבוצה]),"")</f>
        <v>1864</v>
      </c>
      <c r="I140" s="167"/>
    </row>
    <row r="141" spans="1:9" x14ac:dyDescent="0.65">
      <c r="A141" s="96">
        <v>6</v>
      </c>
      <c r="B141" s="154">
        <v>2</v>
      </c>
      <c r="C141" s="154">
        <f t="array" ref="C141">IFERROR(INDEX(TimeTable[מס"ד],MATCH(Table9[[#This Row],[מקצה]]&amp;Table9[[#This Row],[שולחן]],TimeTable[מס'' הרצה 2]&amp;TimeTable[שולחן הרצה 2],0)),"")</f>
        <v>21</v>
      </c>
      <c r="D141" s="154">
        <f>INT((COUNTA($D$120:D140))/4)+$D$120</f>
        <v>30</v>
      </c>
      <c r="E141" s="164">
        <f>IF(OR(Table9[[#This Row],[שולחן]]=$AA$3,Table9[[#This Row],[שולחן]]=$AA$7),E140+ORM,E140)</f>
        <v>0.53124999999999989</v>
      </c>
      <c r="F141" s="96" t="str">
        <f>_xlfn.XLOOKUP($Q83-(ROUNDUP(A141/2,0)-1)*8,Table_names[מסד],Table_names[שם מלא])</f>
        <v>6 אדום</v>
      </c>
      <c r="G141" s="154">
        <f>IFERROR(_xlfn.XLOOKUP(Table9[[#This Row],[מס"ד]],TeamList[מס"ד],TeamList[מס'' הקבוצה]),"")</f>
        <v>3181</v>
      </c>
      <c r="I141" s="167"/>
    </row>
    <row r="142" spans="1:9" x14ac:dyDescent="0.65">
      <c r="A142" s="96">
        <v>6</v>
      </c>
      <c r="B142" s="154">
        <v>2</v>
      </c>
      <c r="C142" s="154">
        <f t="array" ref="C142">IFERROR(INDEX(TimeTable[מס"ד],MATCH(Table9[[#This Row],[מקצה]]&amp;Table9[[#This Row],[שולחן]],TimeTable[מס'' הרצה 2]&amp;TimeTable[שולחן הרצה 2],0)),"")</f>
        <v>18</v>
      </c>
      <c r="D142" s="154">
        <f>INT((COUNTA($D$120:D141))/4)+$D$120</f>
        <v>30</v>
      </c>
      <c r="E142" s="164">
        <f>IF(OR(Table9[[#This Row],[שולחן]]=$AA$3,Table9[[#This Row],[שולחן]]=$AA$7),E141+ORM,E141)</f>
        <v>0.53124999999999989</v>
      </c>
      <c r="F142" s="96" t="str">
        <f>_xlfn.XLOOKUP($Q84-(ROUNDUP(A142/2,0)-1)*8,Table_names[מסד],Table_names[שם מלא])</f>
        <v>7 אדום</v>
      </c>
      <c r="G142" s="154">
        <f>IFERROR(_xlfn.XLOOKUP(Table9[[#This Row],[מס"ד]],TeamList[מס"ד],TeamList[מס'' הקבוצה]),"")</f>
        <v>1043</v>
      </c>
      <c r="I142" s="167"/>
    </row>
    <row r="143" spans="1:9" x14ac:dyDescent="0.65">
      <c r="A143" s="96">
        <v>6</v>
      </c>
      <c r="B143" s="154">
        <v>2</v>
      </c>
      <c r="C143" s="154">
        <f t="array" ref="C143">IFERROR(INDEX(TimeTable[מס"ד],MATCH(Table9[[#This Row],[מקצה]]&amp;Table9[[#This Row],[שולחן]],TimeTable[מס'' הרצה 2]&amp;TimeTable[שולחן הרצה 2],0)),"")</f>
        <v>15</v>
      </c>
      <c r="D143" s="154">
        <f>INT((COUNTA($D$120:D142))/4)+$D$120</f>
        <v>30</v>
      </c>
      <c r="E143" s="164">
        <f>IF(OR(Table9[[#This Row],[שולחן]]=$AA$3,Table9[[#This Row],[שולחן]]=$AA$7),E142+ORM,E142)</f>
        <v>0.53124999999999989</v>
      </c>
      <c r="F143" s="96" t="str">
        <f>_xlfn.XLOOKUP($Q85-(ROUNDUP(A143/2,0)-1)*8,Table_names[מסד],Table_names[שם מלא])</f>
        <v>8 אדום</v>
      </c>
      <c r="G143" s="154">
        <f>IFERROR(_xlfn.XLOOKUP(Table9[[#This Row],[מס"ד]],TeamList[מס"ד],TeamList[מס'' הקבוצה]),"")</f>
        <v>3146</v>
      </c>
      <c r="I143" s="167"/>
    </row>
    <row r="144" spans="1:9" x14ac:dyDescent="0.65">
      <c r="A144" s="96">
        <v>7</v>
      </c>
      <c r="B144" s="154">
        <v>2</v>
      </c>
      <c r="C144" s="154">
        <f t="array" ref="C144">IFERROR(INDEX(TimeTable[מס"ד],MATCH(Table9[[#This Row],[מקצה]]&amp;Table9[[#This Row],[שולחן]],TimeTable[מס'' הרצה 2]&amp;TimeTable[שולחן הרצה 2],0)),"")</f>
        <v>45</v>
      </c>
      <c r="D144" s="154">
        <f>INT((COUNTA($D$120:D143))/4)+$D$120</f>
        <v>31</v>
      </c>
      <c r="E144" s="164">
        <f>IF(OR(Table9[[#This Row],[שולחן]]=$AA$3,Table9[[#This Row],[שולחן]]=$AA$7),E143+ORM,E143)</f>
        <v>0.5347222222222221</v>
      </c>
      <c r="F144" s="96" t="str">
        <f>_xlfn.XLOOKUP($Q86-(ROUNDUP(A144/2,0)-1)*8,Table_names[מסד],Table_names[שם מלא])</f>
        <v>1 אדום</v>
      </c>
      <c r="G144" s="154">
        <f>IFERROR(_xlfn.XLOOKUP(Table9[[#This Row],[מס"ד]],TeamList[מס"ד],TeamList[מס'' הקבוצה]),"")</f>
        <v>3006</v>
      </c>
      <c r="I144" s="167"/>
    </row>
    <row r="145" spans="1:9" x14ac:dyDescent="0.65">
      <c r="A145" s="96">
        <v>7</v>
      </c>
      <c r="B145" s="154">
        <v>2</v>
      </c>
      <c r="C145" s="154">
        <f t="array" ref="C145">IFERROR(INDEX(TimeTable[מס"ד],MATCH(Table9[[#This Row],[מקצה]]&amp;Table9[[#This Row],[שולחן]],TimeTable[מס'' הרצה 2]&amp;TimeTable[שולחן הרצה 2],0)),"")</f>
        <v>42</v>
      </c>
      <c r="D145" s="154">
        <f>INT((COUNTA($D$120:D144))/4)+$D$120</f>
        <v>31</v>
      </c>
      <c r="E145" s="164">
        <f>IF(OR(Table9[[#This Row],[שולחן]]=$AA$3,Table9[[#This Row],[שולחן]]=$AA$7),E144+ORM,E144)</f>
        <v>0.5347222222222221</v>
      </c>
      <c r="F145" s="96" t="str">
        <f>_xlfn.XLOOKUP($Q87-(ROUNDUP(A145/2,0)-1)*8,Table_names[מסד],Table_names[שם מלא])</f>
        <v>2 אדום</v>
      </c>
      <c r="G145" s="154">
        <f>IFERROR(_xlfn.XLOOKUP(Table9[[#This Row],[מס"ד]],TeamList[מס"ד],TeamList[מס'' הקבוצה]),"")</f>
        <v>3184</v>
      </c>
      <c r="I145" s="167"/>
    </row>
    <row r="146" spans="1:9" x14ac:dyDescent="0.65">
      <c r="A146" s="96">
        <v>7</v>
      </c>
      <c r="B146" s="154">
        <v>2</v>
      </c>
      <c r="C146" s="154">
        <f t="array" ref="C146">IFERROR(INDEX(TimeTable[מס"ד],MATCH(Table9[[#This Row],[מקצה]]&amp;Table9[[#This Row],[שולחן]],TimeTable[מס'' הרצה 2]&amp;TimeTable[שולחן הרצה 2],0)),"")</f>
        <v>39</v>
      </c>
      <c r="D146" s="154">
        <f>INT((COUNTA($D$120:D145))/4)+$D$120</f>
        <v>31</v>
      </c>
      <c r="E146" s="164">
        <f>IF(OR(Table9[[#This Row],[שולחן]]=$AA$3,Table9[[#This Row],[שולחן]]=$AA$7),E145+ORM,E145)</f>
        <v>0.5347222222222221</v>
      </c>
      <c r="F146" s="96" t="str">
        <f>_xlfn.XLOOKUP($Q88-(ROUNDUP(A146/2,0)-1)*8,Table_names[מסד],Table_names[שם מלא])</f>
        <v>3 אדום</v>
      </c>
      <c r="G146" s="154">
        <f>IFERROR(_xlfn.XLOOKUP(Table9[[#This Row],[מס"ד]],TeamList[מס"ד],TeamList[מס'' הקבוצה]),"")</f>
        <v>3128</v>
      </c>
      <c r="I146" s="167"/>
    </row>
    <row r="147" spans="1:9" x14ac:dyDescent="0.65">
      <c r="A147" s="96">
        <v>7</v>
      </c>
      <c r="B147" s="154">
        <v>2</v>
      </c>
      <c r="C147" s="154">
        <f t="array" ref="C147">IFERROR(INDEX(TimeTable[מס"ד],MATCH(Table9[[#This Row],[מקצה]]&amp;Table9[[#This Row],[שולחן]],TimeTable[מס'' הרצה 2]&amp;TimeTable[שולחן הרצה 2],0)),"")</f>
        <v>36</v>
      </c>
      <c r="D147" s="154">
        <f>INT((COUNTA($D$120:D146))/4)+$D$120</f>
        <v>31</v>
      </c>
      <c r="E147" s="164">
        <f>IF(OR(Table9[[#This Row],[שולחן]]=$AA$3,Table9[[#This Row],[שולחן]]=$AA$7),E146+ORM,E146)</f>
        <v>0.5347222222222221</v>
      </c>
      <c r="F147" s="96" t="str">
        <f>_xlfn.XLOOKUP($Q89-(ROUNDUP(A147/2,0)-1)*8,Table_names[מסד],Table_names[שם מלא])</f>
        <v>4 אדום</v>
      </c>
      <c r="G147" s="154">
        <f>IFERROR(_xlfn.XLOOKUP(Table9[[#This Row],[מס"ד]],TeamList[מס"ד],TeamList[מס'' הקבוצה]),"")</f>
        <v>1214</v>
      </c>
      <c r="I147" s="167"/>
    </row>
    <row r="148" spans="1:9" x14ac:dyDescent="0.65">
      <c r="A148" s="96">
        <v>8</v>
      </c>
      <c r="B148" s="154">
        <v>2</v>
      </c>
      <c r="C148" s="154">
        <f t="array" ref="C148">IFERROR(INDEX(TimeTable[מס"ד],MATCH(Table9[[#This Row],[מקצה]]&amp;Table9[[#This Row],[שולחן]],TimeTable[מס'' הרצה 2]&amp;TimeTable[שולחן הרצה 2],0)),"")</f>
        <v>46</v>
      </c>
      <c r="D148" s="154">
        <f>INT((COUNTA($D$120:D147))/4)+$D$120</f>
        <v>32</v>
      </c>
      <c r="E148" s="164">
        <f>IF(OR(Table9[[#This Row],[שולחן]]=$AA$3,Table9[[#This Row],[שולחן]]=$AA$7),E147+ORM,E147)</f>
        <v>0.53819444444444431</v>
      </c>
      <c r="F148" s="96" t="str">
        <f>_xlfn.XLOOKUP($Q90-(ROUNDUP(A148/2,0)-1)*8,Table_names[מסד],Table_names[שם מלא])</f>
        <v>5 אדום</v>
      </c>
      <c r="G148" s="154">
        <f>IFERROR(_xlfn.XLOOKUP(Table9[[#This Row],[מס"ד]],TeamList[מס"ד],TeamList[מס'' הקבוצה]),"")</f>
        <v>2130</v>
      </c>
      <c r="I148" s="167"/>
    </row>
    <row r="149" spans="1:9" x14ac:dyDescent="0.65">
      <c r="A149" s="96">
        <v>8</v>
      </c>
      <c r="B149" s="154">
        <v>2</v>
      </c>
      <c r="C149" s="154">
        <f t="array" ref="C149">IFERROR(INDEX(TimeTable[מס"ד],MATCH(Table9[[#This Row],[מקצה]]&amp;Table9[[#This Row],[שולחן]],TimeTable[מס'' הרצה 2]&amp;TimeTable[שולחן הרצה 2],0)),"")</f>
        <v>43</v>
      </c>
      <c r="D149" s="154">
        <f>INT((COUNTA($D$120:D148))/4)+$D$120</f>
        <v>32</v>
      </c>
      <c r="E149" s="164">
        <f>IF(OR(Table9[[#This Row],[שולחן]]=$AA$3,Table9[[#This Row],[שולחן]]=$AA$7),E148+ORM,E148)</f>
        <v>0.53819444444444431</v>
      </c>
      <c r="F149" s="96" t="str">
        <f>_xlfn.XLOOKUP($Q91-(ROUNDUP(A149/2,0)-1)*8,Table_names[מסד],Table_names[שם מלא])</f>
        <v>6 אדום</v>
      </c>
      <c r="G149" s="154">
        <f>IFERROR(_xlfn.XLOOKUP(Table9[[#This Row],[מס"ד]],TeamList[מס"ד],TeamList[מס'' הקבוצה]),"")</f>
        <v>2748</v>
      </c>
      <c r="I149" s="167"/>
    </row>
    <row r="150" spans="1:9" x14ac:dyDescent="0.65">
      <c r="A150" s="96">
        <v>8</v>
      </c>
      <c r="B150" s="154">
        <v>2</v>
      </c>
      <c r="C150" s="154">
        <f t="array" ref="C150">IFERROR(INDEX(TimeTable[מס"ד],MATCH(Table9[[#This Row],[מקצה]]&amp;Table9[[#This Row],[שולחן]],TimeTable[מס'' הרצה 2]&amp;TimeTable[שולחן הרצה 2],0)),"")</f>
        <v>40</v>
      </c>
      <c r="D150" s="154">
        <f>INT((COUNTA($D$120:D149))/4)+$D$120</f>
        <v>32</v>
      </c>
      <c r="E150" s="164">
        <f>IF(OR(Table9[[#This Row],[שולחן]]=$AA$3,Table9[[#This Row],[שולחן]]=$AA$7),E149+ORM,E149)</f>
        <v>0.53819444444444431</v>
      </c>
      <c r="F150" s="96" t="str">
        <f>_xlfn.XLOOKUP($Q92-(ROUNDUP(A150/2,0)-1)*8,Table_names[מסד],Table_names[שם מלא])</f>
        <v>7 אדום</v>
      </c>
      <c r="G150" s="154">
        <f>IFERROR(_xlfn.XLOOKUP(Table9[[#This Row],[מס"ד]],TeamList[מס"ד],TeamList[מס'' הקבוצה]),"")</f>
        <v>1099</v>
      </c>
      <c r="I150" s="167"/>
    </row>
    <row r="151" spans="1:9" x14ac:dyDescent="0.65">
      <c r="A151" s="96">
        <v>8</v>
      </c>
      <c r="B151" s="154">
        <v>2</v>
      </c>
      <c r="C151" s="154">
        <f t="array" ref="C151">IFERROR(INDEX(TimeTable[מס"ד],MATCH(Table9[[#This Row],[מקצה]]&amp;Table9[[#This Row],[שולחן]],TimeTable[מס'' הרצה 2]&amp;TimeTable[שולחן הרצה 2],0)),"")</f>
        <v>37</v>
      </c>
      <c r="D151" s="154">
        <f>INT((COUNTA($D$120:D150))/4)+$D$120</f>
        <v>32</v>
      </c>
      <c r="E151" s="164">
        <f>IF(OR(Table9[[#This Row],[שולחן]]=$AA$3,Table9[[#This Row],[שולחן]]=$AA$7),E150+ORM,E150)</f>
        <v>0.53819444444444431</v>
      </c>
      <c r="F151" s="96" t="str">
        <f>_xlfn.XLOOKUP($Q93-(ROUNDUP(A151/2,0)-1)*8,Table_names[מסד],Table_names[שם מלא])</f>
        <v>8 אדום</v>
      </c>
      <c r="G151" s="154">
        <f>IFERROR(_xlfn.XLOOKUP(Table9[[#This Row],[מס"ד]],TeamList[מס"ד],TeamList[מס'' הקבוצה]),"")</f>
        <v>1300</v>
      </c>
      <c r="I151" s="167"/>
    </row>
    <row r="152" spans="1:9" x14ac:dyDescent="0.65">
      <c r="A152" s="96">
        <v>9</v>
      </c>
      <c r="B152" s="154">
        <v>2</v>
      </c>
      <c r="C152" s="154">
        <f t="array" ref="C152">IFERROR(INDEX(TimeTable[מס"ד],MATCH(Table9[[#This Row],[מקצה]]&amp;Table9[[#This Row],[שולחן]],TimeTable[מס'' הרצה 2]&amp;TimeTable[שולחן הרצה 2],0)),"")</f>
        <v>47</v>
      </c>
      <c r="D152" s="154">
        <f>INT((COUNTA($D$120:D151))/4)+$D$120</f>
        <v>33</v>
      </c>
      <c r="E152" s="164">
        <f>IF(OR(Table9[[#This Row],[שולחן]]=$AA$3,Table9[[#This Row],[שולחן]]=$AA$7),E151+ORM,E151)</f>
        <v>0.54166666666666652</v>
      </c>
      <c r="F152" s="96" t="str">
        <f>_xlfn.XLOOKUP($Q94-(ROUNDUP(A152/2,0)-1)*8,Table_names[מסד],Table_names[שם מלא])</f>
        <v>1 אדום</v>
      </c>
      <c r="G152" s="154">
        <f>IFERROR(_xlfn.XLOOKUP(Table9[[#This Row],[מס"ד]],TeamList[מס"ד],TeamList[מס'' הקבוצה]),"")</f>
        <v>2843</v>
      </c>
      <c r="I152" s="167"/>
    </row>
    <row r="153" spans="1:9" x14ac:dyDescent="0.65">
      <c r="A153" s="96">
        <v>9</v>
      </c>
      <c r="B153" s="154">
        <v>2</v>
      </c>
      <c r="C153" s="154">
        <f t="array" ref="C153">IFERROR(INDEX(TimeTable[מס"ד],MATCH(Table9[[#This Row],[מקצה]]&amp;Table9[[#This Row],[שולחן]],TimeTable[מס'' הרצה 2]&amp;TimeTable[שולחן הרצה 2],0)),"")</f>
        <v>44</v>
      </c>
      <c r="D153" s="154">
        <f>INT((COUNTA($D$120:D152))/4)+$D$120</f>
        <v>33</v>
      </c>
      <c r="E153" s="164">
        <f>IF(OR(Table9[[#This Row],[שולחן]]=$AA$3,Table9[[#This Row],[שולחן]]=$AA$7),E152+ORM,E152)</f>
        <v>0.54166666666666652</v>
      </c>
      <c r="F153" s="96" t="str">
        <f>_xlfn.XLOOKUP($Q95-(ROUNDUP(A153/2,0)-1)*8,Table_names[מסד],Table_names[שם מלא])</f>
        <v>2 אדום</v>
      </c>
      <c r="G153" s="154">
        <f>IFERROR(_xlfn.XLOOKUP(Table9[[#This Row],[מס"ד]],TeamList[מס"ד],TeamList[מס'' הקבוצה]),"")</f>
        <v>1332</v>
      </c>
      <c r="I153" s="167"/>
    </row>
    <row r="154" spans="1:9" x14ac:dyDescent="0.65">
      <c r="A154" s="96">
        <v>9</v>
      </c>
      <c r="B154" s="154">
        <v>2</v>
      </c>
      <c r="C154" s="154">
        <f t="array" ref="C154">IFERROR(INDEX(TimeTable[מס"ד],MATCH(Table9[[#This Row],[מקצה]]&amp;Table9[[#This Row],[שולחן]],TimeTable[מס'' הרצה 2]&amp;TimeTable[שולחן הרצה 2],0)),"")</f>
        <v>41</v>
      </c>
      <c r="D154" s="154">
        <f>INT((COUNTA($D$120:D153))/4)+$D$120</f>
        <v>33</v>
      </c>
      <c r="E154" s="164">
        <f>IF(OR(Table9[[#This Row],[שולחן]]=$AA$3,Table9[[#This Row],[שולחן]]=$AA$7),E153+ORM,E153)</f>
        <v>0.54166666666666652</v>
      </c>
      <c r="F154" s="96" t="str">
        <f>_xlfn.XLOOKUP($Q96-(ROUNDUP(A154/2,0)-1)*8,Table_names[מסד],Table_names[שם מלא])</f>
        <v>3 אדום</v>
      </c>
      <c r="G154" s="154">
        <f>IFERROR(_xlfn.XLOOKUP(Table9[[#This Row],[מס"ד]],TeamList[מס"ד],TeamList[מס'' הקבוצה]),"")</f>
        <v>3294</v>
      </c>
      <c r="I154" s="167"/>
    </row>
    <row r="155" spans="1:9" x14ac:dyDescent="0.65">
      <c r="A155" s="96">
        <v>9</v>
      </c>
      <c r="B155" s="154">
        <v>2</v>
      </c>
      <c r="C155" s="154">
        <f t="array" ref="C155">IFERROR(INDEX(TimeTable[מס"ד],MATCH(Table9[[#This Row],[מקצה]]&amp;Table9[[#This Row],[שולחן]],TimeTable[מס'' הרצה 2]&amp;TimeTable[שולחן הרצה 2],0)),"")</f>
        <v>38</v>
      </c>
      <c r="D155" s="154">
        <f>INT((COUNTA($D$120:D154))/4)+$D$120</f>
        <v>33</v>
      </c>
      <c r="E155" s="164">
        <f>IF(OR(Table9[[#This Row],[שולחן]]=$AA$3,Table9[[#This Row],[שולחן]]=$AA$7),E154+ORM,E154)</f>
        <v>0.54166666666666652</v>
      </c>
      <c r="F155" s="96" t="str">
        <f>_xlfn.XLOOKUP($Q97-(ROUNDUP(A155/2,0)-1)*8,Table_names[מסד],Table_names[שם מלא])</f>
        <v>4 אדום</v>
      </c>
      <c r="G155" s="154">
        <f>IFERROR(_xlfn.XLOOKUP(Table9[[#This Row],[מס"ד]],TeamList[מס"ד],TeamList[מס'' הקבוצה]),"")</f>
        <v>3340</v>
      </c>
      <c r="I155" s="167"/>
    </row>
    <row r="156" spans="1:9" x14ac:dyDescent="0.65">
      <c r="A156" s="96">
        <v>10</v>
      </c>
      <c r="B156" s="154">
        <v>2</v>
      </c>
      <c r="C156" s="154">
        <f t="array" ref="C156">IFERROR(INDEX(TimeTable[מס"ד],MATCH(Table9[[#This Row],[מקצה]]&amp;Table9[[#This Row],[שולחן]],TimeTable[מס'' הרצה 2]&amp;TimeTable[שולחן הרצה 2],0)),"")</f>
        <v>34</v>
      </c>
      <c r="D156" s="154">
        <f>INT((COUNTA($D$120:D155))/4)+$D$120</f>
        <v>34</v>
      </c>
      <c r="E156" s="164">
        <f>IF(OR(Table9[[#This Row],[שולחן]]=$AA$3,Table9[[#This Row],[שולחן]]=$AA$7),E155+ORM,E155)</f>
        <v>0.54513888888888873</v>
      </c>
      <c r="F156" s="96" t="str">
        <f>_xlfn.XLOOKUP($Q98-(ROUNDUP(A156/2,0)-1)*8,Table_names[מסד],Table_names[שם מלא])</f>
        <v>5 אדום</v>
      </c>
      <c r="G156" s="154">
        <f>IFERROR(_xlfn.XLOOKUP(Table9[[#This Row],[מס"ד]],TeamList[מס"ד],TeamList[מס'' הקבוצה]),"")</f>
        <v>2622</v>
      </c>
      <c r="I156" s="167"/>
    </row>
    <row r="157" spans="1:9" x14ac:dyDescent="0.65">
      <c r="A157" s="96">
        <v>10</v>
      </c>
      <c r="B157" s="154">
        <v>2</v>
      </c>
      <c r="C157" s="154">
        <f t="array" ref="C157">IFERROR(INDEX(TimeTable[מס"ד],MATCH(Table9[[#This Row],[מקצה]]&amp;Table9[[#This Row],[שולחן]],TimeTable[מס'' הרצה 2]&amp;TimeTable[שולחן הרצה 2],0)),"")</f>
        <v>31</v>
      </c>
      <c r="D157" s="154">
        <f>INT((COUNTA($D$120:D156))/4)+$D$120</f>
        <v>34</v>
      </c>
      <c r="E157" s="164">
        <f>IF(OR(Table9[[#This Row],[שולחן]]=$AA$3,Table9[[#This Row],[שולחן]]=$AA$7),E156+ORM,E156)</f>
        <v>0.54513888888888873</v>
      </c>
      <c r="F157" s="96" t="str">
        <f>_xlfn.XLOOKUP($Q99-(ROUNDUP(A157/2,0)-1)*8,Table_names[מסד],Table_names[שם מלא])</f>
        <v>6 אדום</v>
      </c>
      <c r="G157" s="154">
        <f>IFERROR(_xlfn.XLOOKUP(Table9[[#This Row],[מס"ד]],TeamList[מס"ד],TeamList[מס'' הקבוצה]),"")</f>
        <v>1301</v>
      </c>
      <c r="I157" s="167"/>
    </row>
    <row r="158" spans="1:9" x14ac:dyDescent="0.65">
      <c r="A158" s="96">
        <v>10</v>
      </c>
      <c r="B158" s="154">
        <v>2</v>
      </c>
      <c r="C158" s="154">
        <f t="array" ref="C158">IFERROR(INDEX(TimeTable[מס"ד],MATCH(Table9[[#This Row],[מקצה]]&amp;Table9[[#This Row],[שולחן]],TimeTable[מס'' הרצה 2]&amp;TimeTable[שולחן הרצה 2],0)),"")</f>
        <v>28</v>
      </c>
      <c r="D158" s="154">
        <f>INT((COUNTA($D$120:D157))/4)+$D$120</f>
        <v>34</v>
      </c>
      <c r="E158" s="164">
        <f>IF(OR(Table9[[#This Row],[שולחן]]=$AA$3,Table9[[#This Row],[שולחן]]=$AA$7),E157+ORM,E157)</f>
        <v>0.54513888888888873</v>
      </c>
      <c r="F158" s="96" t="str">
        <f>_xlfn.XLOOKUP($Q100-(ROUNDUP(A158/2,0)-1)*8,Table_names[מסד],Table_names[שם מלא])</f>
        <v>7 אדום</v>
      </c>
      <c r="G158" s="154">
        <f>IFERROR(_xlfn.XLOOKUP(Table9[[#This Row],[מס"ד]],TeamList[מס"ד],TeamList[מס'' הקבוצה]),"")</f>
        <v>1697</v>
      </c>
      <c r="I158" s="167"/>
    </row>
    <row r="159" spans="1:9" x14ac:dyDescent="0.65">
      <c r="A159" s="96">
        <v>10</v>
      </c>
      <c r="B159" s="154">
        <v>2</v>
      </c>
      <c r="C159" s="154">
        <f t="array" ref="C159">IFERROR(INDEX(TimeTable[מס"ד],MATCH(Table9[[#This Row],[מקצה]]&amp;Table9[[#This Row],[שולחן]],TimeTable[מס'' הרצה 2]&amp;TimeTable[שולחן הרצה 2],0)),"")</f>
        <v>25</v>
      </c>
      <c r="D159" s="154">
        <f>INT((COUNTA($D$120:D158))/4)+$D$120</f>
        <v>34</v>
      </c>
      <c r="E159" s="164">
        <f>IF(OR(Table9[[#This Row],[שולחן]]=$AA$3,Table9[[#This Row],[שולחן]]=$AA$7),E158+ORM,E158)</f>
        <v>0.54513888888888873</v>
      </c>
      <c r="F159" s="96" t="str">
        <f>_xlfn.XLOOKUP($Q101-(ROUNDUP(A159/2,0)-1)*8,Table_names[מסד],Table_names[שם מלא])</f>
        <v>8 אדום</v>
      </c>
      <c r="G159" s="154">
        <f>IFERROR(_xlfn.XLOOKUP(Table9[[#This Row],[מס"ד]],TeamList[מס"ד],TeamList[מס'' הקבוצה]),"")</f>
        <v>2840</v>
      </c>
      <c r="I159" s="167"/>
    </row>
    <row r="160" spans="1:9" x14ac:dyDescent="0.65">
      <c r="A160" s="96">
        <v>11</v>
      </c>
      <c r="B160" s="154">
        <v>2</v>
      </c>
      <c r="C160" s="154">
        <f t="array" ref="C160">IFERROR(INDEX(TimeTable[מס"ד],MATCH(Table9[[#This Row],[מקצה]]&amp;Table9[[#This Row],[שולחן]],TimeTable[מס'' הרצה 2]&amp;TimeTable[שולחן הרצה 2],0)),"")</f>
        <v>35</v>
      </c>
      <c r="D160" s="154">
        <f>INT((COUNTA($D$120:D159))/4)+$D$120</f>
        <v>35</v>
      </c>
      <c r="E160" s="164">
        <f>IF(OR(Table9[[#This Row],[שולחן]]=$AA$3,Table9[[#This Row],[שולחן]]=$AA$7),E159+ORM,E159)</f>
        <v>0.54861111111111094</v>
      </c>
      <c r="F160" s="96" t="str">
        <f>_xlfn.XLOOKUP($Q102-(ROUNDUP(A160/2,0)-1)*8,Table_names[מסד],Table_names[שם מלא])</f>
        <v>1 אדום</v>
      </c>
      <c r="G160" s="154">
        <f>IFERROR(_xlfn.XLOOKUP(Table9[[#This Row],[מס"ד]],TeamList[מס"ד],TeamList[מס'' הקבוצה]),"")</f>
        <v>1616</v>
      </c>
      <c r="I160" s="167"/>
    </row>
    <row r="161" spans="1:22" x14ac:dyDescent="0.65">
      <c r="A161" s="96">
        <v>11</v>
      </c>
      <c r="B161" s="154">
        <v>2</v>
      </c>
      <c r="C161" s="154">
        <f t="array" ref="C161">IFERROR(INDEX(TimeTable[מס"ד],MATCH(Table9[[#This Row],[מקצה]]&amp;Table9[[#This Row],[שולחן]],TimeTable[מס'' הרצה 2]&amp;TimeTable[שולחן הרצה 2],0)),"")</f>
        <v>32</v>
      </c>
      <c r="D161" s="154">
        <f>INT((COUNTA($D$120:D160))/4)+$D$120</f>
        <v>35</v>
      </c>
      <c r="E161" s="164">
        <f>IF(OR(Table9[[#This Row],[שולחן]]=$AA$3,Table9[[#This Row],[שולחן]]=$AA$7),E160+ORM,E160)</f>
        <v>0.54861111111111094</v>
      </c>
      <c r="F161" s="96" t="str">
        <f>_xlfn.XLOOKUP($Q103-(ROUNDUP(A161/2,0)-1)*8,Table_names[מסד],Table_names[שם מלא])</f>
        <v>2 אדום</v>
      </c>
      <c r="G161" s="154">
        <f>IFERROR(_xlfn.XLOOKUP(Table9[[#This Row],[מס"ד]],TeamList[מס"ד],TeamList[מס'' הקבוצה]),"")</f>
        <v>3182</v>
      </c>
      <c r="I161" s="167"/>
    </row>
    <row r="162" spans="1:22" x14ac:dyDescent="0.65">
      <c r="A162" s="96">
        <v>11</v>
      </c>
      <c r="B162" s="154">
        <v>2</v>
      </c>
      <c r="C162" s="154">
        <f t="array" ref="C162">IFERROR(INDEX(TimeTable[מס"ד],MATCH(Table9[[#This Row],[מקצה]]&amp;Table9[[#This Row],[שולחן]],TimeTable[מס'' הרצה 2]&amp;TimeTable[שולחן הרצה 2],0)),"")</f>
        <v>29</v>
      </c>
      <c r="D162" s="154">
        <f>INT((COUNTA($D$120:D161))/4)+$D$120</f>
        <v>35</v>
      </c>
      <c r="E162" s="164">
        <f>IF(OR(Table9[[#This Row],[שולחן]]=$AA$3,Table9[[#This Row],[שולחן]]=$AA$7),E161+ORM,E161)</f>
        <v>0.54861111111111094</v>
      </c>
      <c r="F162" s="96" t="str">
        <f>_xlfn.XLOOKUP($Q104-(ROUNDUP(A162/2,0)-1)*8,Table_names[מסד],Table_names[שם מלא])</f>
        <v>3 אדום</v>
      </c>
      <c r="G162" s="154">
        <f>IFERROR(_xlfn.XLOOKUP(Table9[[#This Row],[מס"ד]],TeamList[מס"ד],TeamList[מס'' הקבוצה]),"")</f>
        <v>1333</v>
      </c>
      <c r="I162" s="167"/>
    </row>
    <row r="163" spans="1:22" x14ac:dyDescent="0.65">
      <c r="A163" s="96">
        <v>11</v>
      </c>
      <c r="B163" s="154">
        <v>2</v>
      </c>
      <c r="C163" s="154">
        <f t="array" ref="C163">IFERROR(INDEX(TimeTable[מס"ד],MATCH(Table9[[#This Row],[מקצה]]&amp;Table9[[#This Row],[שולחן]],TimeTable[מס'' הרצה 2]&amp;TimeTable[שולחן הרצה 2],0)),"")</f>
        <v>26</v>
      </c>
      <c r="D163" s="154">
        <f>INT((COUNTA($D$120:D162))/4)+$D$120</f>
        <v>35</v>
      </c>
      <c r="E163" s="164">
        <f>IF(OR(Table9[[#This Row],[שולחן]]=$AA$3,Table9[[#This Row],[שולחן]]=$AA$7),E162+ORM,E162)</f>
        <v>0.54861111111111094</v>
      </c>
      <c r="F163" s="96" t="str">
        <f>_xlfn.XLOOKUP($Q105-(ROUNDUP(A163/2,0)-1)*8,Table_names[מסד],Table_names[שם מלא])</f>
        <v>4 אדום</v>
      </c>
      <c r="G163" s="154">
        <f>IFERROR(_xlfn.XLOOKUP(Table9[[#This Row],[מס"ד]],TeamList[מס"ד],TeamList[מס'' הקבוצה]),"")</f>
        <v>52</v>
      </c>
      <c r="I163" s="167"/>
    </row>
    <row r="164" spans="1:22" x14ac:dyDescent="0.65">
      <c r="A164" s="96">
        <v>12</v>
      </c>
      <c r="B164" s="154">
        <v>2</v>
      </c>
      <c r="C164" s="154">
        <f t="array" ref="C164">IFERROR(INDEX(TimeTable[מס"ד],MATCH(Table9[[#This Row],[מקצה]]&amp;Table9[[#This Row],[שולחן]],TimeTable[מס'' הרצה 2]&amp;TimeTable[שולחן הרצה 2],0)),"")</f>
        <v>48</v>
      </c>
      <c r="D164" s="154">
        <f>INT((COUNTA($D$120:D163))/4)+$D$120</f>
        <v>36</v>
      </c>
      <c r="E164" s="164">
        <f>IF(OR(Table9[[#This Row],[שולחן]]=$AA$3,Table9[[#This Row],[שולחן]]=$AA$7),E163+ORM,E163)</f>
        <v>0.55208333333333315</v>
      </c>
      <c r="F164" s="96" t="str">
        <f>_xlfn.XLOOKUP($Q106-(ROUNDUP(A164/2,0)-1)*8,Table_names[מסד],Table_names[שם מלא])</f>
        <v>5 אדום</v>
      </c>
      <c r="G164" s="154">
        <f>IFERROR(_xlfn.XLOOKUP(Table9[[#This Row],[מס"ד]],TeamList[מס"ד],TeamList[מס'' הקבוצה]),"")</f>
        <v>1720</v>
      </c>
      <c r="I164" s="167"/>
    </row>
    <row r="165" spans="1:22" x14ac:dyDescent="0.65">
      <c r="A165" s="96">
        <v>12</v>
      </c>
      <c r="B165" s="154">
        <v>2</v>
      </c>
      <c r="C165" s="154">
        <f t="array" ref="C165">IFERROR(INDEX(TimeTable[מס"ד],MATCH(Table9[[#This Row],[מקצה]]&amp;Table9[[#This Row],[שולחן]],TimeTable[מס'' הרצה 2]&amp;TimeTable[שולחן הרצה 2],0)),"")</f>
        <v>33</v>
      </c>
      <c r="D165" s="154">
        <f>INT((COUNTA($D$120:D164))/4)+$D$120</f>
        <v>36</v>
      </c>
      <c r="E165" s="164">
        <f>IF(OR(Table9[[#This Row],[שולחן]]=$AA$3,Table9[[#This Row],[שולחן]]=$AA$7),E164+ORM,E164)</f>
        <v>0.55208333333333315</v>
      </c>
      <c r="F165" s="96" t="str">
        <f>_xlfn.XLOOKUP($Q107-(ROUNDUP(A165/2,0)-1)*8,Table_names[מסד],Table_names[שם מלא])</f>
        <v>6 אדום</v>
      </c>
      <c r="G165" s="154">
        <f>IFERROR(_xlfn.XLOOKUP(Table9[[#This Row],[מס"ד]],TeamList[מס"ד],TeamList[מס'' הקבוצה]),"")</f>
        <v>1324</v>
      </c>
      <c r="I165" s="167"/>
    </row>
    <row r="166" spans="1:22" x14ac:dyDescent="0.65">
      <c r="A166" s="96">
        <v>12</v>
      </c>
      <c r="B166" s="154">
        <v>2</v>
      </c>
      <c r="C166" s="154">
        <f t="array" ref="C166">IFERROR(INDEX(TimeTable[מס"ד],MATCH(Table9[[#This Row],[מקצה]]&amp;Table9[[#This Row],[שולחן]],TimeTable[מס'' הרצה 2]&amp;TimeTable[שולחן הרצה 2],0)),"")</f>
        <v>30</v>
      </c>
      <c r="D166" s="154">
        <f>INT((COUNTA($D$120:D165))/4)+$D$120</f>
        <v>36</v>
      </c>
      <c r="E166" s="164">
        <f>IF(OR(Table9[[#This Row],[שולחן]]=$AA$3,Table9[[#This Row],[שולחן]]=$AA$7),E165+ORM,E165)</f>
        <v>0.55208333333333315</v>
      </c>
      <c r="F166" s="96" t="str">
        <f>_xlfn.XLOOKUP($Q108-(ROUNDUP(A166/2,0)-1)*8,Table_names[מסד],Table_names[שם מלא])</f>
        <v>7 אדום</v>
      </c>
      <c r="G166" s="154">
        <f>IFERROR(_xlfn.XLOOKUP(Table9[[#This Row],[מס"ד]],TeamList[מס"ד],TeamList[מס'' הקבוצה]),"")</f>
        <v>662</v>
      </c>
      <c r="I166" s="167"/>
    </row>
    <row r="167" spans="1:22" x14ac:dyDescent="0.65">
      <c r="A167" s="96">
        <v>12</v>
      </c>
      <c r="B167" s="154">
        <v>2</v>
      </c>
      <c r="C167" s="154">
        <f t="array" ref="C167">IFERROR(INDEX(TimeTable[מס"ד],MATCH(Table9[[#This Row],[מקצה]]&amp;Table9[[#This Row],[שולחן]],TimeTable[מס'' הרצה 2]&amp;TimeTable[שולחן הרצה 2],0)),"")</f>
        <v>27</v>
      </c>
      <c r="D167" s="154">
        <f>INT((COUNTA($D$120:D166))/4)+$D$120</f>
        <v>36</v>
      </c>
      <c r="E167" s="164">
        <f>IF(OR(Table9[[#This Row],[שולחן]]=$AA$3,Table9[[#This Row],[שולחן]]=$AA$7),E166+ORM,E166)</f>
        <v>0.55208333333333315</v>
      </c>
      <c r="F167" s="96" t="str">
        <f>_xlfn.XLOOKUP($Q109-(ROUNDUP(A167/2,0)-1)*8,Table_names[מסד],Table_names[שם מלא])</f>
        <v>8 אדום</v>
      </c>
      <c r="G167" s="154">
        <f>IFERROR(_xlfn.XLOOKUP(Table9[[#This Row],[מס"ד]],TeamList[מס"ד],TeamList[מס'' הקבוצה]),"")</f>
        <v>240</v>
      </c>
      <c r="I167" s="167"/>
    </row>
    <row r="168" spans="1:22" x14ac:dyDescent="0.65">
      <c r="B168" s="154"/>
      <c r="C168" s="154"/>
      <c r="D168" s="154"/>
      <c r="E168" s="164"/>
      <c r="F168" s="176"/>
      <c r="G168" s="154"/>
      <c r="I168" s="167"/>
    </row>
    <row r="169" spans="1:22" x14ac:dyDescent="0.65">
      <c r="B169" s="154"/>
      <c r="C169" s="154"/>
      <c r="D169" s="154"/>
      <c r="E169" s="164"/>
      <c r="F169" s="176"/>
      <c r="G169" s="154"/>
      <c r="I169" s="167"/>
    </row>
    <row r="170" spans="1:22" x14ac:dyDescent="0.65">
      <c r="B170" s="154"/>
      <c r="C170" s="154"/>
      <c r="D170" s="154"/>
      <c r="E170" s="164"/>
      <c r="F170" s="176"/>
      <c r="G170" s="154"/>
      <c r="I170" s="167"/>
    </row>
    <row r="171" spans="1:22" x14ac:dyDescent="0.65">
      <c r="B171" s="154"/>
      <c r="C171" s="154"/>
      <c r="D171" s="154"/>
      <c r="E171" s="164"/>
      <c r="F171" s="176"/>
      <c r="G171" s="154"/>
      <c r="I171" s="167"/>
    </row>
    <row r="172" spans="1:22" x14ac:dyDescent="0.65">
      <c r="B172" s="154"/>
      <c r="C172" s="154"/>
      <c r="D172" s="154"/>
      <c r="E172" s="164"/>
      <c r="F172" s="176"/>
      <c r="G172" s="154"/>
      <c r="I172" s="167"/>
    </row>
    <row r="173" spans="1:22" x14ac:dyDescent="0.65">
      <c r="B173" s="154"/>
      <c r="C173" s="154"/>
      <c r="D173" s="154"/>
      <c r="E173" s="164"/>
      <c r="F173" s="154"/>
      <c r="G173" s="154"/>
      <c r="I173" s="167"/>
    </row>
    <row r="174" spans="1:22" x14ac:dyDescent="0.65">
      <c r="B174" s="154"/>
      <c r="C174" s="154"/>
      <c r="D174" s="154"/>
      <c r="E174" s="164"/>
      <c r="F174" s="154"/>
      <c r="G174" s="154"/>
      <c r="I174" s="167"/>
    </row>
    <row r="175" spans="1:22" x14ac:dyDescent="0.65">
      <c r="B175" s="154"/>
      <c r="C175" s="154"/>
      <c r="D175" s="154"/>
      <c r="E175" s="164"/>
      <c r="F175" s="176"/>
      <c r="G175" s="154"/>
      <c r="I175" s="167"/>
    </row>
    <row r="176" spans="1:22" x14ac:dyDescent="0.65">
      <c r="B176" s="154"/>
      <c r="C176" s="154"/>
      <c r="D176" s="154"/>
      <c r="E176" s="164"/>
      <c r="F176" s="176"/>
      <c r="G176" s="154"/>
      <c r="H176" s="96"/>
      <c r="I176" s="157"/>
      <c r="J176" s="167"/>
      <c r="K176" s="96"/>
      <c r="L176" s="157"/>
      <c r="M176" s="79"/>
      <c r="N176" s="96"/>
      <c r="O176" s="157"/>
      <c r="P176" s="79"/>
      <c r="R176" s="96"/>
      <c r="S176" s="157"/>
      <c r="T176" s="96"/>
      <c r="V176" s="79"/>
    </row>
    <row r="177" spans="1:10" ht="14.5" x14ac:dyDescent="0.7">
      <c r="B177" s="171" t="s">
        <v>74</v>
      </c>
      <c r="C177" s="172" t="s">
        <v>55</v>
      </c>
      <c r="D177" s="173" t="s">
        <v>30</v>
      </c>
      <c r="E177" s="174" t="s">
        <v>36</v>
      </c>
      <c r="F177" s="173" t="s">
        <v>56</v>
      </c>
      <c r="G177" s="175" t="s">
        <v>57</v>
      </c>
      <c r="I177" s="167"/>
    </row>
    <row r="178" spans="1:10" x14ac:dyDescent="0.65">
      <c r="A178" s="96">
        <v>1</v>
      </c>
      <c r="B178" s="154">
        <v>3</v>
      </c>
      <c r="C178" s="154">
        <f t="array" ref="C178">IFERROR(INDEX(TimeTable[מס"ד],MATCH(Table13[[#This Row],[מקצה]]&amp;Table13[[#This Row],[שולחן]],TimeTable[מס'' הרצה 3]&amp;TimeTable[שולחן הרצה 3],0)),"")</f>
        <v>2</v>
      </c>
      <c r="D178" s="154">
        <f>_xlfn.XLOOKUP(N,break_scheduler['# of teams],break_scheduler[Round matches])*Table13[[#This Row],[Round]]+1</f>
        <v>37</v>
      </c>
      <c r="E178" s="164">
        <f>start_round_III</f>
        <v>0.59027777777777768</v>
      </c>
      <c r="F178" s="96" t="str">
        <f>_xlfn.XLOOKUP($Q62-(ROUNDUP(A178/2,0)-1)*8,Table_names[מסד],Table_names[שם מלא])</f>
        <v>1 אדום</v>
      </c>
      <c r="G178" s="154">
        <f>IFERROR(_xlfn.XLOOKUP(Table13[[#This Row],[מס"ד]],TeamList[מס"ד],TeamList[מס'' הקבוצה]),"")</f>
        <v>3180</v>
      </c>
      <c r="I178" s="167"/>
      <c r="J178" s="71"/>
    </row>
    <row r="179" spans="1:10" x14ac:dyDescent="0.65">
      <c r="A179" s="96">
        <v>1</v>
      </c>
      <c r="B179" s="154">
        <v>3</v>
      </c>
      <c r="C179" s="154">
        <f t="array" ref="C179">IFERROR(INDEX(TimeTable[מס"ד],MATCH(Table13[[#This Row],[מקצה]]&amp;Table13[[#This Row],[שולחן]],TimeTable[מס'' הרצה 3]&amp;TimeTable[שולחן הרצה 3],0)),"")</f>
        <v>1</v>
      </c>
      <c r="D179" s="154">
        <f>INT((COUNTA($D$178:D178))/4)+$D$178</f>
        <v>37</v>
      </c>
      <c r="E179" s="164">
        <f>IF(OR(Table13[[#This Row],[שולחן]]=$AA$3,Table13[[#This Row],[שולחן]]=$AA$7),E178+ORM,E178)</f>
        <v>0.59027777777777768</v>
      </c>
      <c r="F179" s="96" t="str">
        <f>_xlfn.XLOOKUP($Q63-(ROUNDUP(A179/2,0)-1)*8,Table_names[מסד],Table_names[שם מלא])</f>
        <v>2 אדום</v>
      </c>
      <c r="G179" s="154">
        <f>IFERROR(_xlfn.XLOOKUP(Table13[[#This Row],[מס"ד]],TeamList[מס"ד],TeamList[מס'' הקבוצה]),"")</f>
        <v>3163</v>
      </c>
      <c r="I179" s="167"/>
    </row>
    <row r="180" spans="1:10" x14ac:dyDescent="0.65">
      <c r="A180" s="96">
        <v>1</v>
      </c>
      <c r="B180" s="154">
        <v>3</v>
      </c>
      <c r="C180" s="154">
        <f t="array" ref="C180">IFERROR(INDEX(TimeTable[מס"ד],MATCH(Table13[[#This Row],[מקצה]]&amp;Table13[[#This Row],[שולחן]],TimeTable[מס'' הרצה 3]&amp;TimeTable[שולחן הרצה 3],0)),"")</f>
        <v>4</v>
      </c>
      <c r="D180" s="154">
        <f>INT((COUNTA($D$178:D179))/4)+$D$178</f>
        <v>37</v>
      </c>
      <c r="E180" s="164">
        <f>IF(OR(Table13[[#This Row],[שולחן]]=$AA$3,Table13[[#This Row],[שולחן]]=$AA$7),E179+ORM,E179)</f>
        <v>0.59027777777777768</v>
      </c>
      <c r="F180" s="96" t="str">
        <f>_xlfn.XLOOKUP($Q64-(ROUNDUP(A180/2,0)-1)*8,Table_names[מסד],Table_names[שם מלא])</f>
        <v>3 אדום</v>
      </c>
      <c r="G180" s="154">
        <f>IFERROR(_xlfn.XLOOKUP(Table13[[#This Row],[מס"ד]],TeamList[מס"ד],TeamList[מס'' הקבוצה]),"")</f>
        <v>1825</v>
      </c>
      <c r="I180" s="167"/>
    </row>
    <row r="181" spans="1:10" x14ac:dyDescent="0.65">
      <c r="A181" s="96">
        <v>1</v>
      </c>
      <c r="B181" s="154">
        <v>3</v>
      </c>
      <c r="C181" s="154">
        <f t="array" ref="C181">IFERROR(INDEX(TimeTable[מס"ד],MATCH(Table13[[#This Row],[מקצה]]&amp;Table13[[#This Row],[שולחן]],TimeTable[מס'' הרצה 3]&amp;TimeTable[שולחן הרצה 3],0)),"")</f>
        <v>3</v>
      </c>
      <c r="D181" s="154">
        <f>INT((COUNTA($D$178:D180))/4)+$D$178</f>
        <v>37</v>
      </c>
      <c r="E181" s="164">
        <f>IF(OR(Table13[[#This Row],[שולחן]]=$AA$3,Table13[[#This Row],[שולחן]]=$AA$7),E180+ORM,E180)</f>
        <v>0.59027777777777768</v>
      </c>
      <c r="F181" s="96" t="str">
        <f>_xlfn.XLOOKUP($Q65-(ROUNDUP(A181/2,0)-1)*8,Table_names[מסד],Table_names[שם מלא])</f>
        <v>4 אדום</v>
      </c>
      <c r="G181" s="154">
        <f>IFERROR(_xlfn.XLOOKUP(Table13[[#This Row],[מס"ד]],TeamList[מס"ד],TeamList[מס'' הקבוצה]),"")</f>
        <v>1042</v>
      </c>
      <c r="I181" s="167"/>
    </row>
    <row r="182" spans="1:10" x14ac:dyDescent="0.65">
      <c r="A182" s="96">
        <v>2</v>
      </c>
      <c r="B182" s="154">
        <v>3</v>
      </c>
      <c r="C182" s="154">
        <f t="array" ref="C182">IFERROR(INDEX(TimeTable[מס"ד],MATCH(Table13[[#This Row],[מקצה]]&amp;Table13[[#This Row],[שולחן]],TimeTable[מס'' הרצה 3]&amp;TimeTable[שולחן הרצה 3],0)),"")</f>
        <v>6</v>
      </c>
      <c r="D182" s="154">
        <f>INT((COUNTA($D$178:D181))/4)+$D$178</f>
        <v>38</v>
      </c>
      <c r="E182" s="164">
        <f>IF(OR(Table13[[#This Row],[שולחן]]=$AA$3,Table13[[#This Row],[שולחן]]=$AA$7),E181+ORM,E181)</f>
        <v>0.59374999999999989</v>
      </c>
      <c r="F182" s="96" t="str">
        <f>_xlfn.XLOOKUP($Q66-(ROUNDUP(A182/2,0)-1)*8,Table_names[מסד],Table_names[שם מלא])</f>
        <v>5 אדום</v>
      </c>
      <c r="G182" s="154">
        <f>IFERROR(_xlfn.XLOOKUP(Table13[[#This Row],[מס"ד]],TeamList[מס"ד],TeamList[מס'' הקבוצה]),"")</f>
        <v>2954</v>
      </c>
      <c r="I182" s="167"/>
    </row>
    <row r="183" spans="1:10" x14ac:dyDescent="0.65">
      <c r="A183" s="96">
        <v>2</v>
      </c>
      <c r="B183" s="154">
        <v>3</v>
      </c>
      <c r="C183" s="154">
        <f t="array" ref="C183">IFERROR(INDEX(TimeTable[מס"ד],MATCH(Table13[[#This Row],[מקצה]]&amp;Table13[[#This Row],[שולחן]],TimeTable[מס'' הרצה 3]&amp;TimeTable[שולחן הרצה 3],0)),"")</f>
        <v>5</v>
      </c>
      <c r="D183" s="154">
        <f>INT((COUNTA($D$178:D182))/4)+$D$178</f>
        <v>38</v>
      </c>
      <c r="E183" s="164">
        <f>IF(OR(Table13[[#This Row],[שולחן]]=$AA$3,Table13[[#This Row],[שולחן]]=$AA$7),E182+ORM,E182)</f>
        <v>0.59374999999999989</v>
      </c>
      <c r="F183" s="96" t="str">
        <f>_xlfn.XLOOKUP($Q67-(ROUNDUP(A183/2,0)-1)*8,Table_names[מסד],Table_names[שם מלא])</f>
        <v>6 אדום</v>
      </c>
      <c r="G183" s="154">
        <f>IFERROR(_xlfn.XLOOKUP(Table13[[#This Row],[מס"ד]],TeamList[מס"ד],TeamList[מס'' הקבוצה]),"")</f>
        <v>3243</v>
      </c>
      <c r="I183" s="167"/>
    </row>
    <row r="184" spans="1:10" x14ac:dyDescent="0.65">
      <c r="A184" s="96">
        <v>2</v>
      </c>
      <c r="B184" s="154">
        <v>3</v>
      </c>
      <c r="C184" s="154">
        <f t="array" ref="C184">IFERROR(INDEX(TimeTable[מס"ד],MATCH(Table13[[#This Row],[מקצה]]&amp;Table13[[#This Row],[שולחן]],TimeTable[מס'' הרצה 3]&amp;TimeTable[שולחן הרצה 3],0)),"")</f>
        <v>8</v>
      </c>
      <c r="D184" s="154">
        <f>INT((COUNTA($D$178:D183))/4)+$D$178</f>
        <v>38</v>
      </c>
      <c r="E184" s="164">
        <f>IF(OR(Table13[[#This Row],[שולחן]]=$AA$3,Table13[[#This Row],[שולחן]]=$AA$7),E183+ORM,E183)</f>
        <v>0.59374999999999989</v>
      </c>
      <c r="F184" s="96" t="str">
        <f>_xlfn.XLOOKUP($Q68-(ROUNDUP(A184/2,0)-1)*8,Table_names[מסד],Table_names[שם מלא])</f>
        <v>7 אדום</v>
      </c>
      <c r="G184" s="154">
        <f>IFERROR(_xlfn.XLOOKUP(Table13[[#This Row],[מס"ד]],TeamList[מס"ד],TeamList[מס'' הקבוצה]),"")</f>
        <v>2978</v>
      </c>
      <c r="I184" s="167"/>
    </row>
    <row r="185" spans="1:10" x14ac:dyDescent="0.65">
      <c r="A185" s="96">
        <v>2</v>
      </c>
      <c r="B185" s="154">
        <v>3</v>
      </c>
      <c r="C185" s="154">
        <f t="array" ref="C185">IFERROR(INDEX(TimeTable[מס"ד],MATCH(Table13[[#This Row],[מקצה]]&amp;Table13[[#This Row],[שולחן]],TimeTable[מס'' הרצה 3]&amp;TimeTable[שולחן הרצה 3],0)),"")</f>
        <v>7</v>
      </c>
      <c r="D185" s="154">
        <f>INT((COUNTA($D$178:D184))/4)+$D$178</f>
        <v>38</v>
      </c>
      <c r="E185" s="164">
        <f>IF(OR(Table13[[#This Row],[שולחן]]=$AA$3,Table13[[#This Row],[שולחן]]=$AA$7),E184+ORM,E184)</f>
        <v>0.59374999999999989</v>
      </c>
      <c r="F185" s="96" t="str">
        <f>_xlfn.XLOOKUP($Q69-(ROUNDUP(A185/2,0)-1)*8,Table_names[מסד],Table_names[שם מלא])</f>
        <v>8 אדום</v>
      </c>
      <c r="G185" s="154">
        <f>IFERROR(_xlfn.XLOOKUP(Table13[[#This Row],[מס"ד]],TeamList[מס"ד],TeamList[מס'' הקבוצה]),"")</f>
        <v>2623</v>
      </c>
      <c r="I185" s="167"/>
    </row>
    <row r="186" spans="1:10" x14ac:dyDescent="0.65">
      <c r="A186" s="96">
        <v>3</v>
      </c>
      <c r="B186" s="154">
        <v>3</v>
      </c>
      <c r="C186" s="154">
        <f t="array" ref="C186">IFERROR(INDEX(TimeTable[מס"ד],MATCH(Table13[[#This Row],[מקצה]]&amp;Table13[[#This Row],[שולחן]],TimeTable[מס'' הרצה 3]&amp;TimeTable[שולחן הרצה 3],0)),"")</f>
        <v>10</v>
      </c>
      <c r="D186" s="154">
        <f>INT((COUNTA($D$178:D185))/4)+$D$178</f>
        <v>39</v>
      </c>
      <c r="E186" s="164">
        <f>IF(OR(Table13[[#This Row],[שולחן]]=$AA$3,Table13[[#This Row],[שולחן]]=$AA$7),E185+ORM,E185)</f>
        <v>0.5972222222222221</v>
      </c>
      <c r="F186" s="96" t="str">
        <f>_xlfn.XLOOKUP($Q70-(ROUNDUP(A186/2,0)-1)*8,Table_names[מסד],Table_names[שם מלא])</f>
        <v>1 אדום</v>
      </c>
      <c r="G186" s="154">
        <f>IFERROR(_xlfn.XLOOKUP(Table13[[#This Row],[מס"ד]],TeamList[מס"ד],TeamList[מס'' הקבוצה]),"")</f>
        <v>1371</v>
      </c>
      <c r="I186" s="167"/>
    </row>
    <row r="187" spans="1:10" x14ac:dyDescent="0.65">
      <c r="A187" s="96">
        <v>3</v>
      </c>
      <c r="B187" s="154">
        <v>3</v>
      </c>
      <c r="C187" s="154">
        <f t="array" ref="C187">IFERROR(INDEX(TimeTable[מס"ד],MATCH(Table13[[#This Row],[מקצה]]&amp;Table13[[#This Row],[שולחן]],TimeTable[מס'' הרצה 3]&amp;TimeTable[שולחן הרצה 3],0)),"")</f>
        <v>9</v>
      </c>
      <c r="D187" s="154">
        <f>INT((COUNTA($D$178:D186))/4)+$D$178</f>
        <v>39</v>
      </c>
      <c r="E187" s="164">
        <f>IF(OR(Table13[[#This Row],[שולחן]]=$AA$3,Table13[[#This Row],[שולחן]]=$AA$7),E186+ORM,E186)</f>
        <v>0.5972222222222221</v>
      </c>
      <c r="F187" s="96" t="str">
        <f>_xlfn.XLOOKUP($Q71-(ROUNDUP(A187/2,0)-1)*8,Table_names[מסד],Table_names[שם מלא])</f>
        <v>2 אדום</v>
      </c>
      <c r="G187" s="154">
        <f>IFERROR(_xlfn.XLOOKUP(Table13[[#This Row],[מס"ד]],TeamList[מס"ד],TeamList[מס'' הקבוצה]),"")</f>
        <v>588</v>
      </c>
      <c r="I187" s="167"/>
    </row>
    <row r="188" spans="1:10" x14ac:dyDescent="0.65">
      <c r="A188" s="96">
        <v>3</v>
      </c>
      <c r="B188" s="154">
        <v>3</v>
      </c>
      <c r="C188" s="154">
        <f t="array" ref="C188">IFERROR(INDEX(TimeTable[מס"ד],MATCH(Table13[[#This Row],[מקצה]]&amp;Table13[[#This Row],[שולחן]],TimeTable[מס'' הרצה 3]&amp;TimeTable[שולחן הרצה 3],0)),"")</f>
        <v>12</v>
      </c>
      <c r="D188" s="154">
        <f>INT((COUNTA($D$178:D187))/4)+$D$178</f>
        <v>39</v>
      </c>
      <c r="E188" s="164">
        <f>IF(OR(Table13[[#This Row],[שולחן]]=$AA$3,Table13[[#This Row],[שולחן]]=$AA$7),E187+ORM,E187)</f>
        <v>0.5972222222222221</v>
      </c>
      <c r="F188" s="96" t="str">
        <f>_xlfn.XLOOKUP($Q72-(ROUNDUP(A188/2,0)-1)*8,Table_names[מסד],Table_names[שם מלא])</f>
        <v>3 אדום</v>
      </c>
      <c r="G188" s="154">
        <f>IFERROR(_xlfn.XLOOKUP(Table13[[#This Row],[מס"ד]],TeamList[מס"ד],TeamList[מס'' הקבוצה]),"")</f>
        <v>515</v>
      </c>
      <c r="I188" s="167"/>
    </row>
    <row r="189" spans="1:10" x14ac:dyDescent="0.65">
      <c r="A189" s="96">
        <v>3</v>
      </c>
      <c r="B189" s="154">
        <v>3</v>
      </c>
      <c r="C189" s="154">
        <f t="array" ref="C189">IFERROR(INDEX(TimeTable[מס"ד],MATCH(Table13[[#This Row],[מקצה]]&amp;Table13[[#This Row],[שולחן]],TimeTable[מס'' הרצה 3]&amp;TimeTable[שולחן הרצה 3],0)),"")</f>
        <v>11</v>
      </c>
      <c r="D189" s="154">
        <f>INT((COUNTA($D$178:D188))/4)+$D$178</f>
        <v>39</v>
      </c>
      <c r="E189" s="164">
        <f>IF(OR(Table13[[#This Row],[שולחן]]=$AA$3,Table13[[#This Row],[שולחן]]=$AA$7),E188+ORM,E188)</f>
        <v>0.5972222222222221</v>
      </c>
      <c r="F189" s="96" t="str">
        <f>_xlfn.XLOOKUP($Q73-(ROUNDUP(A189/2,0)-1)*8,Table_names[מסד],Table_names[שם מלא])</f>
        <v>4 אדום</v>
      </c>
      <c r="G189" s="154">
        <f>IFERROR(_xlfn.XLOOKUP(Table13[[#This Row],[מס"ד]],TeamList[מס"ד],TeamList[מס'' הקבוצה]),"")</f>
        <v>3139</v>
      </c>
      <c r="I189" s="167"/>
    </row>
    <row r="190" spans="1:10" x14ac:dyDescent="0.65">
      <c r="A190" s="96">
        <v>4</v>
      </c>
      <c r="B190" s="154">
        <v>3</v>
      </c>
      <c r="C190" s="154">
        <f t="array" ref="C190">IFERROR(INDEX(TimeTable[מס"ד],MATCH(Table13[[#This Row],[מקצה]]&amp;Table13[[#This Row],[שולחן]],TimeTable[מס'' הרצה 3]&amp;TimeTable[שולחן הרצה 3],0)),"")</f>
        <v>14</v>
      </c>
      <c r="D190" s="154">
        <f>INT((COUNTA($D$178:D189))/4)+$D$178</f>
        <v>40</v>
      </c>
      <c r="E190" s="164">
        <f>IF(OR(Table13[[#This Row],[שולחן]]=$AA$3,Table13[[#This Row],[שולחן]]=$AA$7),E189+ORM,E189)</f>
        <v>0.60069444444444431</v>
      </c>
      <c r="F190" s="96" t="str">
        <f>_xlfn.XLOOKUP($Q74-(ROUNDUP(A190/2,0)-1)*8,Table_names[מסד],Table_names[שם מלא])</f>
        <v>5 אדום</v>
      </c>
      <c r="G190" s="154">
        <f>IFERROR(_xlfn.XLOOKUP(Table13[[#This Row],[מס"ד]],TeamList[מס"ד],TeamList[מס'' הקבוצה]),"")</f>
        <v>3179</v>
      </c>
      <c r="I190" s="167"/>
    </row>
    <row r="191" spans="1:10" x14ac:dyDescent="0.65">
      <c r="A191" s="96">
        <v>4</v>
      </c>
      <c r="B191" s="154">
        <v>3</v>
      </c>
      <c r="C191" s="154">
        <f t="array" ref="C191">IFERROR(INDEX(TimeTable[מס"ד],MATCH(Table13[[#This Row],[מקצה]]&amp;Table13[[#This Row],[שולחן]],TimeTable[מס'' הרצה 3]&amp;TimeTable[שולחן הרצה 3],0)),"")</f>
        <v>13</v>
      </c>
      <c r="D191" s="154">
        <f>INT((COUNTA($D$178:D190))/4)+$D$178</f>
        <v>40</v>
      </c>
      <c r="E191" s="164">
        <f>IF(OR(Table13[[#This Row],[שולחן]]=$AA$3,Table13[[#This Row],[שולחן]]=$AA$7),E190+ORM,E190)</f>
        <v>0.60069444444444431</v>
      </c>
      <c r="F191" s="96" t="str">
        <f>_xlfn.XLOOKUP($Q75-(ROUNDUP(A191/2,0)-1)*8,Table_names[מסד],Table_names[שם מלא])</f>
        <v>6 אדום</v>
      </c>
      <c r="G191" s="154">
        <f>IFERROR(_xlfn.XLOOKUP(Table13[[#This Row],[מס"ד]],TeamList[מס"ד],TeamList[מס'' הקבוצה]),"")</f>
        <v>3185</v>
      </c>
      <c r="I191" s="167"/>
    </row>
    <row r="192" spans="1:10" x14ac:dyDescent="0.65">
      <c r="A192" s="96">
        <v>4</v>
      </c>
      <c r="B192" s="154">
        <v>3</v>
      </c>
      <c r="C192" s="154">
        <f t="array" ref="C192">IFERROR(INDEX(TimeTable[מס"ד],MATCH(Table13[[#This Row],[מקצה]]&amp;Table13[[#This Row],[שולחן]],TimeTable[מס'' הרצה 3]&amp;TimeTable[שולחן הרצה 3],0)),"")</f>
        <v>16</v>
      </c>
      <c r="D192" s="154">
        <f>INT((COUNTA($D$178:D191))/4)+$D$178</f>
        <v>40</v>
      </c>
      <c r="E192" s="164">
        <f>IF(OR(Table13[[#This Row],[שולחן]]=$AA$3,Table13[[#This Row],[שולחן]]=$AA$7),E191+ORM,E191)</f>
        <v>0.60069444444444431</v>
      </c>
      <c r="F192" s="96" t="str">
        <f>_xlfn.XLOOKUP($Q76-(ROUNDUP(A192/2,0)-1)*8,Table_names[מסד],Table_names[שם מלא])</f>
        <v>7 אדום</v>
      </c>
      <c r="G192" s="154">
        <f>IFERROR(_xlfn.XLOOKUP(Table13[[#This Row],[מס"ד]],TeamList[מס"ד],TeamList[מס'' הקבוצה]),"")</f>
        <v>2977</v>
      </c>
      <c r="I192" s="167"/>
    </row>
    <row r="193" spans="1:9" x14ac:dyDescent="0.65">
      <c r="A193" s="96">
        <v>4</v>
      </c>
      <c r="B193" s="154">
        <v>3</v>
      </c>
      <c r="C193" s="154">
        <f t="array" ref="C193">IFERROR(INDEX(TimeTable[מס"ד],MATCH(Table13[[#This Row],[מקצה]]&amp;Table13[[#This Row],[שולחן]],TimeTable[מס'' הרצה 3]&amp;TimeTable[שולחן הרצה 3],0)),"")</f>
        <v>15</v>
      </c>
      <c r="D193" s="154">
        <f>INT((COUNTA($D$178:D192))/4)+$D$178</f>
        <v>40</v>
      </c>
      <c r="E193" s="164">
        <f>IF(OR(Table13[[#This Row],[שולחן]]=$AA$3,Table13[[#This Row],[שולחן]]=$AA$7),E192+ORM,E192)</f>
        <v>0.60069444444444431</v>
      </c>
      <c r="F193" s="96" t="str">
        <f>_xlfn.XLOOKUP($Q77-(ROUNDUP(A193/2,0)-1)*8,Table_names[מסד],Table_names[שם מלא])</f>
        <v>8 אדום</v>
      </c>
      <c r="G193" s="154">
        <f>IFERROR(_xlfn.XLOOKUP(Table13[[#This Row],[מס"ד]],TeamList[מס"ד],TeamList[מס'' הקבוצה]),"")</f>
        <v>3146</v>
      </c>
      <c r="I193" s="167"/>
    </row>
    <row r="194" spans="1:9" x14ac:dyDescent="0.65">
      <c r="A194" s="96">
        <v>5</v>
      </c>
      <c r="B194" s="154">
        <v>3</v>
      </c>
      <c r="C194" s="154">
        <f t="array" ref="C194">IFERROR(INDEX(TimeTable[מס"ד],MATCH(Table13[[#This Row],[מקצה]]&amp;Table13[[#This Row],[שולחן]],TimeTable[מס'' הרצה 3]&amp;TimeTable[שולחן הרצה 3],0)),"")</f>
        <v>18</v>
      </c>
      <c r="D194" s="154">
        <f>INT((COUNTA($D$178:D193))/4)+$D$178</f>
        <v>41</v>
      </c>
      <c r="E194" s="164">
        <f>IF(OR(Table13[[#This Row],[שולחן]]=$AA$3,Table13[[#This Row],[שולחן]]=$AA$7),E193+ORM,E193)</f>
        <v>0.60416666666666652</v>
      </c>
      <c r="F194" s="96" t="str">
        <f>_xlfn.XLOOKUP($Q78-(ROUNDUP(A194/2,0)-1)*8,Table_names[מסד],Table_names[שם מלא])</f>
        <v>1 אדום</v>
      </c>
      <c r="G194" s="154">
        <f>IFERROR(_xlfn.XLOOKUP(Table13[[#This Row],[מס"ד]],TeamList[מס"ד],TeamList[מס'' הקבוצה]),"")</f>
        <v>1043</v>
      </c>
      <c r="I194" s="167"/>
    </row>
    <row r="195" spans="1:9" x14ac:dyDescent="0.65">
      <c r="A195" s="96">
        <v>5</v>
      </c>
      <c r="B195" s="154">
        <v>3</v>
      </c>
      <c r="C195" s="154">
        <f t="array" ref="C195">IFERROR(INDEX(TimeTable[מס"ד],MATCH(Table13[[#This Row],[מקצה]]&amp;Table13[[#This Row],[שולחן]],TimeTable[מס'' הרצה 3]&amp;TimeTable[שולחן הרצה 3],0)),"")</f>
        <v>17</v>
      </c>
      <c r="D195" s="154">
        <f>INT((COUNTA($D$178:D194))/4)+$D$178</f>
        <v>41</v>
      </c>
      <c r="E195" s="164">
        <f>IF(OR(Table13[[#This Row],[שולחן]]=$AA$3,Table13[[#This Row],[שולחן]]=$AA$7),E194+ORM,E194)</f>
        <v>0.60416666666666652</v>
      </c>
      <c r="F195" s="96" t="str">
        <f>_xlfn.XLOOKUP($Q79-(ROUNDUP(A195/2,0)-1)*8,Table_names[מסד],Table_names[שם מלא])</f>
        <v>2 אדום</v>
      </c>
      <c r="G195" s="154">
        <f>IFERROR(_xlfn.XLOOKUP(Table13[[#This Row],[מס"ד]],TeamList[מס"ד],TeamList[מס'' הקבוצה]),"")</f>
        <v>1083</v>
      </c>
      <c r="I195" s="167"/>
    </row>
    <row r="196" spans="1:9" x14ac:dyDescent="0.65">
      <c r="A196" s="96">
        <v>5</v>
      </c>
      <c r="B196" s="154">
        <v>3</v>
      </c>
      <c r="C196" s="154">
        <f t="array" ref="C196">IFERROR(INDEX(TimeTable[מס"ד],MATCH(Table13[[#This Row],[מקצה]]&amp;Table13[[#This Row],[שולחן]],TimeTable[מס'' הרצה 3]&amp;TimeTable[שולחן הרצה 3],0)),"")</f>
        <v>20</v>
      </c>
      <c r="D196" s="154">
        <f>INT((COUNTA($D$178:D195))/4)+$D$178</f>
        <v>41</v>
      </c>
      <c r="E196" s="164">
        <f>IF(OR(Table13[[#This Row],[שולחן]]=$AA$3,Table13[[#This Row],[שולחן]]=$AA$7),E195+ORM,E195)</f>
        <v>0.60416666666666652</v>
      </c>
      <c r="F196" s="96" t="str">
        <f>_xlfn.XLOOKUP($Q80-(ROUNDUP(A196/2,0)-1)*8,Table_names[מסד],Table_names[שם מלא])</f>
        <v>3 אדום</v>
      </c>
      <c r="G196" s="154">
        <f>IFERROR(_xlfn.XLOOKUP(Table13[[#This Row],[מס"ד]],TeamList[מס"ד],TeamList[מס'' הקבוצה]),"")</f>
        <v>2222</v>
      </c>
      <c r="I196" s="167"/>
    </row>
    <row r="197" spans="1:9" x14ac:dyDescent="0.65">
      <c r="A197" s="96">
        <v>5</v>
      </c>
      <c r="B197" s="154">
        <v>3</v>
      </c>
      <c r="C197" s="154">
        <f t="array" ref="C197">IFERROR(INDEX(TimeTable[מס"ד],MATCH(Table13[[#This Row],[מקצה]]&amp;Table13[[#This Row],[שולחן]],TimeTable[מס'' הרצה 3]&amp;TimeTable[שולחן הרצה 3],0)),"")</f>
        <v>19</v>
      </c>
      <c r="D197" s="154">
        <f>INT((COUNTA($D$178:D196))/4)+$D$178</f>
        <v>41</v>
      </c>
      <c r="E197" s="164">
        <f>IF(OR(Table13[[#This Row],[שולחן]]=$AA$3,Table13[[#This Row],[שולחן]]=$AA$7),E196+ORM,E196)</f>
        <v>0.60416666666666652</v>
      </c>
      <c r="F197" s="96" t="str">
        <f>_xlfn.XLOOKUP($Q81-(ROUNDUP(A197/2,0)-1)*8,Table_names[מסד],Table_names[שם מלא])</f>
        <v>4 אדום</v>
      </c>
      <c r="G197" s="154">
        <f>IFERROR(_xlfn.XLOOKUP(Table13[[#This Row],[מס"ד]],TeamList[מס"ד],TeamList[מס'' הקבוצה]),"")</f>
        <v>341</v>
      </c>
      <c r="I197" s="167"/>
    </row>
    <row r="198" spans="1:9" x14ac:dyDescent="0.65">
      <c r="A198" s="96">
        <v>6</v>
      </c>
      <c r="B198" s="154">
        <v>3</v>
      </c>
      <c r="C198" s="154">
        <f t="array" ref="C198">IFERROR(INDEX(TimeTable[מס"ד],MATCH(Table13[[#This Row],[מקצה]]&amp;Table13[[#This Row],[שולחן]],TimeTable[מס'' הרצה 3]&amp;TimeTable[שולחן הרצה 3],0)),"")</f>
        <v>22</v>
      </c>
      <c r="D198" s="154">
        <f>INT((COUNTA($D$178:D197))/4)+$D$178</f>
        <v>42</v>
      </c>
      <c r="E198" s="164">
        <f>IF(OR(Table13[[#This Row],[שולחן]]=$AA$3,Table13[[#This Row],[שולחן]]=$AA$7),E197+ORM,E197)</f>
        <v>0.60763888888888873</v>
      </c>
      <c r="F198" s="96" t="str">
        <f>_xlfn.XLOOKUP($Q82-(ROUNDUP(A198/2,0)-1)*8,Table_names[מסד],Table_names[שם מלא])</f>
        <v>5 אדום</v>
      </c>
      <c r="G198" s="154">
        <f>IFERROR(_xlfn.XLOOKUP(Table13[[#This Row],[מס"ד]],TeamList[מס"ד],TeamList[מס'' הקבוצה]),"")</f>
        <v>3022</v>
      </c>
      <c r="I198" s="167"/>
    </row>
    <row r="199" spans="1:9" x14ac:dyDescent="0.65">
      <c r="A199" s="96">
        <v>6</v>
      </c>
      <c r="B199" s="154">
        <v>3</v>
      </c>
      <c r="C199" s="154">
        <f t="array" ref="C199">IFERROR(INDEX(TimeTable[מס"ד],MATCH(Table13[[#This Row],[מקצה]]&amp;Table13[[#This Row],[שולחן]],TimeTable[מס'' הרצה 3]&amp;TimeTable[שולחן הרצה 3],0)),"")</f>
        <v>21</v>
      </c>
      <c r="D199" s="154">
        <f>INT((COUNTA($D$178:D198))/4)+$D$178</f>
        <v>42</v>
      </c>
      <c r="E199" s="164">
        <f>IF(OR(Table13[[#This Row],[שולחן]]=$AA$3,Table13[[#This Row],[שולחן]]=$AA$7),E198+ORM,E198)</f>
        <v>0.60763888888888873</v>
      </c>
      <c r="F199" s="96" t="str">
        <f>_xlfn.XLOOKUP($Q83-(ROUNDUP(A199/2,0)-1)*8,Table_names[מסד],Table_names[שם מלא])</f>
        <v>6 אדום</v>
      </c>
      <c r="G199" s="154">
        <f>IFERROR(_xlfn.XLOOKUP(Table13[[#This Row],[מס"ד]],TeamList[מס"ד],TeamList[מס'' הקבוצה]),"")</f>
        <v>3181</v>
      </c>
      <c r="I199" s="167"/>
    </row>
    <row r="200" spans="1:9" x14ac:dyDescent="0.65">
      <c r="A200" s="96">
        <v>6</v>
      </c>
      <c r="B200" s="154">
        <v>3</v>
      </c>
      <c r="C200" s="154">
        <f t="array" ref="C200">IFERROR(INDEX(TimeTable[מס"ד],MATCH(Table13[[#This Row],[מקצה]]&amp;Table13[[#This Row],[שולחן]],TimeTable[מס'' הרצה 3]&amp;TimeTable[שולחן הרצה 3],0)),"")</f>
        <v>24</v>
      </c>
      <c r="D200" s="154">
        <f>INT((COUNTA($D$178:D199))/4)+$D$178</f>
        <v>42</v>
      </c>
      <c r="E200" s="164">
        <f>IF(OR(Table13[[#This Row],[שולחן]]=$AA$3,Table13[[#This Row],[שולחן]]=$AA$7),E199+ORM,E199)</f>
        <v>0.60763888888888873</v>
      </c>
      <c r="F200" s="96" t="str">
        <f>_xlfn.XLOOKUP($Q84-(ROUNDUP(A200/2,0)-1)*8,Table_names[מסד],Table_names[שם מלא])</f>
        <v>7 אדום</v>
      </c>
      <c r="G200" s="154">
        <f>IFERROR(_xlfn.XLOOKUP(Table13[[#This Row],[מס"ד]],TeamList[מס"ד],TeamList[מס'' הקבוצה]),"")</f>
        <v>1864</v>
      </c>
      <c r="I200" s="167"/>
    </row>
    <row r="201" spans="1:9" x14ac:dyDescent="0.65">
      <c r="A201" s="96">
        <v>6</v>
      </c>
      <c r="B201" s="154">
        <v>3</v>
      </c>
      <c r="C201" s="154">
        <f t="array" ref="C201">IFERROR(INDEX(TimeTable[מס"ד],MATCH(Table13[[#This Row],[מקצה]]&amp;Table13[[#This Row],[שולחן]],TimeTable[מס'' הרצה 3]&amp;TimeTable[שולחן הרצה 3],0)),"")</f>
        <v>23</v>
      </c>
      <c r="D201" s="154">
        <f>INT((COUNTA($D$178:D200))/4)+$D$178</f>
        <v>42</v>
      </c>
      <c r="E201" s="164">
        <f>IF(OR(Table13[[#This Row],[שולחן]]=$AA$3,Table13[[#This Row],[שולחן]]=$AA$7),E200+ORM,E200)</f>
        <v>0.60763888888888873</v>
      </c>
      <c r="F201" s="96" t="str">
        <f>_xlfn.XLOOKUP($Q85-(ROUNDUP(A201/2,0)-1)*8,Table_names[מסד],Table_names[שם מלא])</f>
        <v>8 אדום</v>
      </c>
      <c r="G201" s="154">
        <f>IFERROR(_xlfn.XLOOKUP(Table13[[#This Row],[מס"ד]],TeamList[מס"ד],TeamList[מס'' הקבוצה]),"")</f>
        <v>1152</v>
      </c>
      <c r="I201" s="167"/>
    </row>
    <row r="202" spans="1:9" x14ac:dyDescent="0.65">
      <c r="A202" s="96">
        <v>7</v>
      </c>
      <c r="B202" s="154">
        <v>3</v>
      </c>
      <c r="C202" s="154">
        <f t="array" ref="C202">IFERROR(INDEX(TimeTable[מס"ד],MATCH(Table13[[#This Row],[מקצה]]&amp;Table13[[#This Row],[שולחן]],TimeTable[מס'' הרצה 3]&amp;TimeTable[שולחן הרצה 3],0)),"")</f>
        <v>26</v>
      </c>
      <c r="D202" s="154">
        <f>INT((COUNTA($D$178:D201))/4)+$D$178</f>
        <v>43</v>
      </c>
      <c r="E202" s="164">
        <f>IF(OR(Table13[[#This Row],[שולחן]]=$AA$3,Table13[[#This Row],[שולחן]]=$AA$7),E201+ORM,E201)</f>
        <v>0.61111111111111094</v>
      </c>
      <c r="F202" s="96" t="str">
        <f>_xlfn.XLOOKUP($Q86-(ROUNDUP(A202/2,0)-1)*8,Table_names[מסד],Table_names[שם מלא])</f>
        <v>1 אדום</v>
      </c>
      <c r="G202" s="154">
        <f>IFERROR(_xlfn.XLOOKUP(Table13[[#This Row],[מס"ד]],TeamList[מס"ד],TeamList[מס'' הקבוצה]),"")</f>
        <v>52</v>
      </c>
      <c r="I202" s="167"/>
    </row>
    <row r="203" spans="1:9" x14ac:dyDescent="0.65">
      <c r="A203" s="96">
        <v>7</v>
      </c>
      <c r="B203" s="154">
        <v>3</v>
      </c>
      <c r="C203" s="154">
        <f t="array" ref="C203">IFERROR(INDEX(TimeTable[מס"ד],MATCH(Table13[[#This Row],[מקצה]]&amp;Table13[[#This Row],[שולחן]],TimeTable[מס'' הרצה 3]&amp;TimeTable[שולחן הרצה 3],0)),"")</f>
        <v>25</v>
      </c>
      <c r="D203" s="154">
        <f>INT((COUNTA($D$178:D202))/4)+$D$178</f>
        <v>43</v>
      </c>
      <c r="E203" s="164">
        <f>IF(OR(Table13[[#This Row],[שולחן]]=$AA$3,Table13[[#This Row],[שולחן]]=$AA$7),E202+ORM,E202)</f>
        <v>0.61111111111111094</v>
      </c>
      <c r="F203" s="96" t="str">
        <f>_xlfn.XLOOKUP($Q87-(ROUNDUP(A203/2,0)-1)*8,Table_names[מסד],Table_names[שם מלא])</f>
        <v>2 אדום</v>
      </c>
      <c r="G203" s="154">
        <f>IFERROR(_xlfn.XLOOKUP(Table13[[#This Row],[מס"ד]],TeamList[מס"ד],TeamList[מס'' הקבוצה]),"")</f>
        <v>2840</v>
      </c>
      <c r="I203" s="167"/>
    </row>
    <row r="204" spans="1:9" x14ac:dyDescent="0.65">
      <c r="A204" s="96">
        <v>7</v>
      </c>
      <c r="B204" s="154">
        <v>3</v>
      </c>
      <c r="C204" s="154">
        <f t="array" ref="C204">IFERROR(INDEX(TimeTable[מס"ד],MATCH(Table13[[#This Row],[מקצה]]&amp;Table13[[#This Row],[שולחן]],TimeTable[מס'' הרצה 3]&amp;TimeTable[שולחן הרצה 3],0)),"")</f>
        <v>28</v>
      </c>
      <c r="D204" s="154">
        <f>INT((COUNTA($D$178:D203))/4)+$D$178</f>
        <v>43</v>
      </c>
      <c r="E204" s="164">
        <f>IF(OR(Table13[[#This Row],[שולחן]]=$AA$3,Table13[[#This Row],[שולחן]]=$AA$7),E203+ORM,E203)</f>
        <v>0.61111111111111094</v>
      </c>
      <c r="F204" s="96" t="str">
        <f>_xlfn.XLOOKUP($Q88-(ROUNDUP(A204/2,0)-1)*8,Table_names[מסד],Table_names[שם מלא])</f>
        <v>3 אדום</v>
      </c>
      <c r="G204" s="154">
        <f>IFERROR(_xlfn.XLOOKUP(Table13[[#This Row],[מס"ד]],TeamList[מס"ד],TeamList[מס'' הקבוצה]),"")</f>
        <v>1697</v>
      </c>
      <c r="I204" s="167"/>
    </row>
    <row r="205" spans="1:9" x14ac:dyDescent="0.65">
      <c r="A205" s="96">
        <v>7</v>
      </c>
      <c r="B205" s="154">
        <v>3</v>
      </c>
      <c r="C205" s="154">
        <f t="array" ref="C205">IFERROR(INDEX(TimeTable[מס"ד],MATCH(Table13[[#This Row],[מקצה]]&amp;Table13[[#This Row],[שולחן]],TimeTable[מס'' הרצה 3]&amp;TimeTable[שולחן הרצה 3],0)),"")</f>
        <v>27</v>
      </c>
      <c r="D205" s="154">
        <f>INT((COUNTA($D$178:D204))/4)+$D$178</f>
        <v>43</v>
      </c>
      <c r="E205" s="164">
        <f>IF(OR(Table13[[#This Row],[שולחן]]=$AA$3,Table13[[#This Row],[שולחן]]=$AA$7),E204+ORM,E204)</f>
        <v>0.61111111111111094</v>
      </c>
      <c r="F205" s="96" t="str">
        <f>_xlfn.XLOOKUP($Q89-(ROUNDUP(A205/2,0)-1)*8,Table_names[מסד],Table_names[שם מלא])</f>
        <v>4 אדום</v>
      </c>
      <c r="G205" s="154">
        <f>IFERROR(_xlfn.XLOOKUP(Table13[[#This Row],[מס"ד]],TeamList[מס"ד],TeamList[מס'' הקבוצה]),"")</f>
        <v>240</v>
      </c>
      <c r="I205" s="167"/>
    </row>
    <row r="206" spans="1:9" x14ac:dyDescent="0.65">
      <c r="A206" s="96">
        <v>8</v>
      </c>
      <c r="B206" s="154">
        <v>3</v>
      </c>
      <c r="C206" s="154">
        <f t="array" ref="C206">IFERROR(INDEX(TimeTable[מס"ד],MATCH(Table13[[#This Row],[מקצה]]&amp;Table13[[#This Row],[שולחן]],TimeTable[מס'' הרצה 3]&amp;TimeTable[שולחן הרצה 3],0)),"")</f>
        <v>30</v>
      </c>
      <c r="D206" s="154">
        <f>INT((COUNTA($D$178:D205))/4)+$D$178</f>
        <v>44</v>
      </c>
      <c r="E206" s="164">
        <f>IF(OR(Table13[[#This Row],[שולחן]]=$AA$3,Table13[[#This Row],[שולחן]]=$AA$7),E205+ORM,E205)</f>
        <v>0.61458333333333315</v>
      </c>
      <c r="F206" s="96" t="str">
        <f>_xlfn.XLOOKUP($Q90-(ROUNDUP(A206/2,0)-1)*8,Table_names[מסד],Table_names[שם מלא])</f>
        <v>5 אדום</v>
      </c>
      <c r="G206" s="154">
        <f>IFERROR(_xlfn.XLOOKUP(Table13[[#This Row],[מס"ד]],TeamList[מס"ד],TeamList[מס'' הקבוצה]),"")</f>
        <v>662</v>
      </c>
      <c r="I206" s="167"/>
    </row>
    <row r="207" spans="1:9" x14ac:dyDescent="0.65">
      <c r="A207" s="96">
        <v>8</v>
      </c>
      <c r="B207" s="154">
        <v>3</v>
      </c>
      <c r="C207" s="154">
        <f t="array" ref="C207">IFERROR(INDEX(TimeTable[מס"ד],MATCH(Table13[[#This Row],[מקצה]]&amp;Table13[[#This Row],[שולחן]],TimeTable[מס'' הרצה 3]&amp;TimeTable[שולחן הרצה 3],0)),"")</f>
        <v>29</v>
      </c>
      <c r="D207" s="154">
        <f>INT((COUNTA($D$178:D206))/4)+$D$178</f>
        <v>44</v>
      </c>
      <c r="E207" s="164">
        <f>IF(OR(Table13[[#This Row],[שולחן]]=$AA$3,Table13[[#This Row],[שולחן]]=$AA$7),E206+ORM,E206)</f>
        <v>0.61458333333333315</v>
      </c>
      <c r="F207" s="96" t="str">
        <f>_xlfn.XLOOKUP($Q91-(ROUNDUP(A207/2,0)-1)*8,Table_names[מסד],Table_names[שם מלא])</f>
        <v>6 אדום</v>
      </c>
      <c r="G207" s="154">
        <f>IFERROR(_xlfn.XLOOKUP(Table13[[#This Row],[מס"ד]],TeamList[מס"ד],TeamList[מס'' הקבוצה]),"")</f>
        <v>1333</v>
      </c>
      <c r="I207" s="167"/>
    </row>
    <row r="208" spans="1:9" x14ac:dyDescent="0.65">
      <c r="A208" s="96">
        <v>8</v>
      </c>
      <c r="B208" s="154">
        <v>3</v>
      </c>
      <c r="C208" s="154">
        <f t="array" ref="C208">IFERROR(INDEX(TimeTable[מס"ד],MATCH(Table13[[#This Row],[מקצה]]&amp;Table13[[#This Row],[שולחן]],TimeTable[מס'' הרצה 3]&amp;TimeTable[שולחן הרצה 3],0)),"")</f>
        <v>32</v>
      </c>
      <c r="D208" s="154">
        <f>INT((COUNTA($D$178:D207))/4)+$D$178</f>
        <v>44</v>
      </c>
      <c r="E208" s="164">
        <f>IF(OR(Table13[[#This Row],[שולחן]]=$AA$3,Table13[[#This Row],[שולחן]]=$AA$7),E207+ORM,E207)</f>
        <v>0.61458333333333315</v>
      </c>
      <c r="F208" s="96" t="str">
        <f>_xlfn.XLOOKUP($Q92-(ROUNDUP(A208/2,0)-1)*8,Table_names[מסד],Table_names[שם מלא])</f>
        <v>7 אדום</v>
      </c>
      <c r="G208" s="154">
        <f>IFERROR(_xlfn.XLOOKUP(Table13[[#This Row],[מס"ד]],TeamList[מס"ד],TeamList[מס'' הקבוצה]),"")</f>
        <v>3182</v>
      </c>
      <c r="I208" s="167"/>
    </row>
    <row r="209" spans="1:9" x14ac:dyDescent="0.65">
      <c r="A209" s="96">
        <v>8</v>
      </c>
      <c r="B209" s="154">
        <v>3</v>
      </c>
      <c r="C209" s="154">
        <f t="array" ref="C209">IFERROR(INDEX(TimeTable[מס"ד],MATCH(Table13[[#This Row],[מקצה]]&amp;Table13[[#This Row],[שולחן]],TimeTable[מס'' הרצה 3]&amp;TimeTable[שולחן הרצה 3],0)),"")</f>
        <v>31</v>
      </c>
      <c r="D209" s="154">
        <f>INT((COUNTA($D$178:D208))/4)+$D$178</f>
        <v>44</v>
      </c>
      <c r="E209" s="164">
        <f>IF(OR(Table13[[#This Row],[שולחן]]=$AA$3,Table13[[#This Row],[שולחן]]=$AA$7),E208+ORM,E208)</f>
        <v>0.61458333333333315</v>
      </c>
      <c r="F209" s="96" t="str">
        <f>_xlfn.XLOOKUP($Q93-(ROUNDUP(A209/2,0)-1)*8,Table_names[מסד],Table_names[שם מלא])</f>
        <v>8 אדום</v>
      </c>
      <c r="G209" s="154">
        <f>IFERROR(_xlfn.XLOOKUP(Table13[[#This Row],[מס"ד]],TeamList[מס"ד],TeamList[מס'' הקבוצה]),"")</f>
        <v>1301</v>
      </c>
      <c r="I209" s="167"/>
    </row>
    <row r="210" spans="1:9" x14ac:dyDescent="0.65">
      <c r="A210" s="96">
        <v>9</v>
      </c>
      <c r="B210" s="154">
        <v>3</v>
      </c>
      <c r="C210" s="154">
        <f t="array" ref="C210">IFERROR(INDEX(TimeTable[מס"ד],MATCH(Table13[[#This Row],[מקצה]]&amp;Table13[[#This Row],[שולחן]],TimeTable[מס'' הרצה 3]&amp;TimeTable[שולחן הרצה 3],0)),"")</f>
        <v>34</v>
      </c>
      <c r="D210" s="154">
        <f>INT((COUNTA($D$178:D209))/4)+$D$178</f>
        <v>45</v>
      </c>
      <c r="E210" s="164">
        <f>IF(OR(Table13[[#This Row],[שולחן]]=$AA$3,Table13[[#This Row],[שולחן]]=$AA$7),E209+ORM,E209)</f>
        <v>0.61805555555555536</v>
      </c>
      <c r="F210" s="96" t="str">
        <f>_xlfn.XLOOKUP($Q94-(ROUNDUP(A210/2,0)-1)*8,Table_names[מסד],Table_names[שם מלא])</f>
        <v>1 אדום</v>
      </c>
      <c r="G210" s="154">
        <f>IFERROR(_xlfn.XLOOKUP(Table13[[#This Row],[מס"ד]],TeamList[מס"ד],TeamList[מס'' הקבוצה]),"")</f>
        <v>2622</v>
      </c>
      <c r="I210" s="167"/>
    </row>
    <row r="211" spans="1:9" x14ac:dyDescent="0.65">
      <c r="A211" s="96">
        <v>9</v>
      </c>
      <c r="B211" s="154">
        <v>3</v>
      </c>
      <c r="C211" s="154">
        <f t="array" ref="C211">IFERROR(INDEX(TimeTable[מס"ד],MATCH(Table13[[#This Row],[מקצה]]&amp;Table13[[#This Row],[שולחן]],TimeTable[מס'' הרצה 3]&amp;TimeTable[שולחן הרצה 3],0)),"")</f>
        <v>33</v>
      </c>
      <c r="D211" s="154">
        <f>INT((COUNTA($D$178:D210))/4)+$D$178</f>
        <v>45</v>
      </c>
      <c r="E211" s="164">
        <f>IF(OR(Table13[[#This Row],[שולחן]]=$AA$3,Table13[[#This Row],[שולחן]]=$AA$7),E210+ORM,E210)</f>
        <v>0.61805555555555536</v>
      </c>
      <c r="F211" s="96" t="str">
        <f>_xlfn.XLOOKUP($Q95-(ROUNDUP(A211/2,0)-1)*8,Table_names[מסד],Table_names[שם מלא])</f>
        <v>2 אדום</v>
      </c>
      <c r="G211" s="154">
        <f>IFERROR(_xlfn.XLOOKUP(Table13[[#This Row],[מס"ד]],TeamList[מס"ד],TeamList[מס'' הקבוצה]),"")</f>
        <v>1324</v>
      </c>
      <c r="I211" s="167"/>
    </row>
    <row r="212" spans="1:9" x14ac:dyDescent="0.65">
      <c r="A212" s="96">
        <v>9</v>
      </c>
      <c r="B212" s="154">
        <v>3</v>
      </c>
      <c r="C212" s="154">
        <f t="array" ref="C212">IFERROR(INDEX(TimeTable[מס"ד],MATCH(Table13[[#This Row],[מקצה]]&amp;Table13[[#This Row],[שולחן]],TimeTable[מס'' הרצה 3]&amp;TimeTable[שולחן הרצה 3],0)),"")</f>
        <v>36</v>
      </c>
      <c r="D212" s="154">
        <f>INT((COUNTA($D$178:D211))/4)+$D$178</f>
        <v>45</v>
      </c>
      <c r="E212" s="164">
        <f>IF(OR(Table13[[#This Row],[שולחן]]=$AA$3,Table13[[#This Row],[שולחן]]=$AA$7),E211+ORM,E211)</f>
        <v>0.61805555555555536</v>
      </c>
      <c r="F212" s="96" t="str">
        <f>_xlfn.XLOOKUP($Q96-(ROUNDUP(A212/2,0)-1)*8,Table_names[מסד],Table_names[שם מלא])</f>
        <v>3 אדום</v>
      </c>
      <c r="G212" s="154">
        <f>IFERROR(_xlfn.XLOOKUP(Table13[[#This Row],[מס"ד]],TeamList[מס"ד],TeamList[מס'' הקבוצה]),"")</f>
        <v>1214</v>
      </c>
      <c r="I212" s="167"/>
    </row>
    <row r="213" spans="1:9" x14ac:dyDescent="0.65">
      <c r="A213" s="96">
        <v>9</v>
      </c>
      <c r="B213" s="154">
        <v>3</v>
      </c>
      <c r="C213" s="154">
        <f t="array" ref="C213">IFERROR(INDEX(TimeTable[מס"ד],MATCH(Table13[[#This Row],[מקצה]]&amp;Table13[[#This Row],[שולחן]],TimeTable[מס'' הרצה 3]&amp;TimeTable[שולחן הרצה 3],0)),"")</f>
        <v>35</v>
      </c>
      <c r="D213" s="154">
        <f>INT((COUNTA($D$178:D212))/4)+$D$178</f>
        <v>45</v>
      </c>
      <c r="E213" s="164">
        <f>IF(OR(Table13[[#This Row],[שולחן]]=$AA$3,Table13[[#This Row],[שולחן]]=$AA$7),E212+ORM,E212)</f>
        <v>0.61805555555555536</v>
      </c>
      <c r="F213" s="96" t="str">
        <f>_xlfn.XLOOKUP($Q97-(ROUNDUP(A213/2,0)-1)*8,Table_names[מסד],Table_names[שם מלא])</f>
        <v>4 אדום</v>
      </c>
      <c r="G213" s="154">
        <f>IFERROR(_xlfn.XLOOKUP(Table13[[#This Row],[מס"ד]],TeamList[מס"ד],TeamList[מס'' הקבוצה]),"")</f>
        <v>1616</v>
      </c>
      <c r="I213" s="167"/>
    </row>
    <row r="214" spans="1:9" x14ac:dyDescent="0.65">
      <c r="A214" s="96">
        <v>10</v>
      </c>
      <c r="B214" s="154">
        <v>3</v>
      </c>
      <c r="C214" s="154">
        <f t="array" ref="C214">IFERROR(INDEX(TimeTable[מס"ד],MATCH(Table13[[#This Row],[מקצה]]&amp;Table13[[#This Row],[שולחן]],TimeTable[מס'' הרצה 3]&amp;TimeTable[שולחן הרצה 3],0)),"")</f>
        <v>38</v>
      </c>
      <c r="D214" s="154">
        <f>INT((COUNTA($D$178:D213))/4)+$D$178</f>
        <v>46</v>
      </c>
      <c r="E214" s="164">
        <f>IF(OR(Table13[[#This Row],[שולחן]]=$AA$3,Table13[[#This Row],[שולחן]]=$AA$7),E213+ORM,E213)</f>
        <v>0.62152777777777757</v>
      </c>
      <c r="F214" s="96" t="str">
        <f>_xlfn.XLOOKUP($Q98-(ROUNDUP(A214/2,0)-1)*8,Table_names[מסד],Table_names[שם מלא])</f>
        <v>5 אדום</v>
      </c>
      <c r="G214" s="154">
        <f>IFERROR(_xlfn.XLOOKUP(Table13[[#This Row],[מס"ד]],TeamList[מס"ד],TeamList[מס'' הקבוצה]),"")</f>
        <v>3340</v>
      </c>
      <c r="I214" s="167"/>
    </row>
    <row r="215" spans="1:9" x14ac:dyDescent="0.65">
      <c r="A215" s="96">
        <v>10</v>
      </c>
      <c r="B215" s="154">
        <v>3</v>
      </c>
      <c r="C215" s="154">
        <f t="array" ref="C215">IFERROR(INDEX(TimeTable[מס"ד],MATCH(Table13[[#This Row],[מקצה]]&amp;Table13[[#This Row],[שולחן]],TimeTable[מס'' הרצה 3]&amp;TimeTable[שולחן הרצה 3],0)),"")</f>
        <v>37</v>
      </c>
      <c r="D215" s="154">
        <f>INT((COUNTA($D$178:D214))/4)+$D$178</f>
        <v>46</v>
      </c>
      <c r="E215" s="164">
        <f>IF(OR(Table13[[#This Row],[שולחן]]=$AA$3,Table13[[#This Row],[שולחן]]=$AA$7),E214+ORM,E214)</f>
        <v>0.62152777777777757</v>
      </c>
      <c r="F215" s="96" t="str">
        <f>_xlfn.XLOOKUP($Q99-(ROUNDUP(A215/2,0)-1)*8,Table_names[מסד],Table_names[שם מלא])</f>
        <v>6 אדום</v>
      </c>
      <c r="G215" s="154">
        <f>IFERROR(_xlfn.XLOOKUP(Table13[[#This Row],[מס"ד]],TeamList[מס"ד],TeamList[מס'' הקבוצה]),"")</f>
        <v>1300</v>
      </c>
      <c r="I215" s="167"/>
    </row>
    <row r="216" spans="1:9" x14ac:dyDescent="0.65">
      <c r="A216" s="96">
        <v>10</v>
      </c>
      <c r="B216" s="154">
        <v>3</v>
      </c>
      <c r="C216" s="154">
        <f t="array" ref="C216">IFERROR(INDEX(TimeTable[מס"ד],MATCH(Table13[[#This Row],[מקצה]]&amp;Table13[[#This Row],[שולחן]],TimeTable[מס'' הרצה 3]&amp;TimeTable[שולחן הרצה 3],0)),"")</f>
        <v>40</v>
      </c>
      <c r="D216" s="154">
        <f>INT((COUNTA($D$178:D215))/4)+$D$178</f>
        <v>46</v>
      </c>
      <c r="E216" s="164">
        <f>IF(OR(Table13[[#This Row],[שולחן]]=$AA$3,Table13[[#This Row],[שולחן]]=$AA$7),E215+ORM,E215)</f>
        <v>0.62152777777777757</v>
      </c>
      <c r="F216" s="96" t="str">
        <f>_xlfn.XLOOKUP($Q100-(ROUNDUP(A216/2,0)-1)*8,Table_names[מסד],Table_names[שם מלא])</f>
        <v>7 אדום</v>
      </c>
      <c r="G216" s="154">
        <f>IFERROR(_xlfn.XLOOKUP(Table13[[#This Row],[מס"ד]],TeamList[מס"ד],TeamList[מס'' הקבוצה]),"")</f>
        <v>1099</v>
      </c>
      <c r="I216" s="167"/>
    </row>
    <row r="217" spans="1:9" x14ac:dyDescent="0.65">
      <c r="A217" s="96">
        <v>10</v>
      </c>
      <c r="B217" s="154">
        <v>3</v>
      </c>
      <c r="C217" s="154">
        <f t="array" ref="C217">IFERROR(INDEX(TimeTable[מס"ד],MATCH(Table13[[#This Row],[מקצה]]&amp;Table13[[#This Row],[שולחן]],TimeTable[מס'' הרצה 3]&amp;TimeTable[שולחן הרצה 3],0)),"")</f>
        <v>39</v>
      </c>
      <c r="D217" s="154">
        <f>INT((COUNTA($D$178:D216))/4)+$D$178</f>
        <v>46</v>
      </c>
      <c r="E217" s="164">
        <f>IF(OR(Table13[[#This Row],[שולחן]]=$AA$3,Table13[[#This Row],[שולחן]]=$AA$7),E216+ORM,E216)</f>
        <v>0.62152777777777757</v>
      </c>
      <c r="F217" s="96" t="str">
        <f>_xlfn.XLOOKUP($Q101-(ROUNDUP(A217/2,0)-1)*8,Table_names[מסד],Table_names[שם מלא])</f>
        <v>8 אדום</v>
      </c>
      <c r="G217" s="154">
        <f>IFERROR(_xlfn.XLOOKUP(Table13[[#This Row],[מס"ד]],TeamList[מס"ד],TeamList[מס'' הקבוצה]),"")</f>
        <v>3128</v>
      </c>
      <c r="I217" s="167"/>
    </row>
    <row r="218" spans="1:9" x14ac:dyDescent="0.65">
      <c r="A218" s="96">
        <v>11</v>
      </c>
      <c r="B218" s="154">
        <v>3</v>
      </c>
      <c r="C218" s="154">
        <f t="array" ref="C218">IFERROR(INDEX(TimeTable[מס"ד],MATCH(Table13[[#This Row],[מקצה]]&amp;Table13[[#This Row],[שולחן]],TimeTable[מס'' הרצה 3]&amp;TimeTable[שולחן הרצה 3],0)),"")</f>
        <v>42</v>
      </c>
      <c r="D218" s="154">
        <f>INT((COUNTA($D$178:D217))/4)+$D$178</f>
        <v>47</v>
      </c>
      <c r="E218" s="164">
        <f>IF(OR(Table13[[#This Row],[שולחן]]=$AA$3,Table13[[#This Row],[שולחן]]=$AA$7),E217+ORM,E217)</f>
        <v>0.62499999999999978</v>
      </c>
      <c r="F218" s="96" t="str">
        <f>_xlfn.XLOOKUP($Q102-(ROUNDUP(A218/2,0)-1)*8,Table_names[מסד],Table_names[שם מלא])</f>
        <v>1 אדום</v>
      </c>
      <c r="G218" s="154">
        <f>IFERROR(_xlfn.XLOOKUP(Table13[[#This Row],[מס"ד]],TeamList[מס"ד],TeamList[מס'' הקבוצה]),"")</f>
        <v>3184</v>
      </c>
      <c r="I218" s="167"/>
    </row>
    <row r="219" spans="1:9" x14ac:dyDescent="0.65">
      <c r="A219" s="96">
        <v>11</v>
      </c>
      <c r="B219" s="154">
        <v>3</v>
      </c>
      <c r="C219" s="154">
        <f t="array" ref="C219">IFERROR(INDEX(TimeTable[מס"ד],MATCH(Table13[[#This Row],[מקצה]]&amp;Table13[[#This Row],[שולחן]],TimeTable[מס'' הרצה 3]&amp;TimeTable[שולחן הרצה 3],0)),"")</f>
        <v>41</v>
      </c>
      <c r="D219" s="154">
        <f>INT((COUNTA($D$178:D218))/4)+$D$178</f>
        <v>47</v>
      </c>
      <c r="E219" s="164">
        <f>IF(OR(Table13[[#This Row],[שולחן]]=$AA$3,Table13[[#This Row],[שולחן]]=$AA$7),E218+ORM,E218)</f>
        <v>0.62499999999999978</v>
      </c>
      <c r="F219" s="96" t="str">
        <f>_xlfn.XLOOKUP($Q103-(ROUNDUP(A219/2,0)-1)*8,Table_names[מסד],Table_names[שם מלא])</f>
        <v>2 אדום</v>
      </c>
      <c r="G219" s="154">
        <f>IFERROR(_xlfn.XLOOKUP(Table13[[#This Row],[מס"ד]],TeamList[מס"ד],TeamList[מס'' הקבוצה]),"")</f>
        <v>3294</v>
      </c>
      <c r="I219" s="167"/>
    </row>
    <row r="220" spans="1:9" x14ac:dyDescent="0.65">
      <c r="A220" s="96">
        <v>11</v>
      </c>
      <c r="B220" s="154">
        <v>3</v>
      </c>
      <c r="C220" s="154">
        <f t="array" ref="C220">IFERROR(INDEX(TimeTable[מס"ד],MATCH(Table13[[#This Row],[מקצה]]&amp;Table13[[#This Row],[שולחן]],TimeTable[מס'' הרצה 3]&amp;TimeTable[שולחן הרצה 3],0)),"")</f>
        <v>44</v>
      </c>
      <c r="D220" s="154">
        <f>INT((COUNTA($D$178:D219))/4)+$D$178</f>
        <v>47</v>
      </c>
      <c r="E220" s="164">
        <f>IF(OR(Table13[[#This Row],[שולחן]]=$AA$3,Table13[[#This Row],[שולחן]]=$AA$7),E219+ORM,E219)</f>
        <v>0.62499999999999978</v>
      </c>
      <c r="F220" s="96" t="str">
        <f>_xlfn.XLOOKUP($Q104-(ROUNDUP(A220/2,0)-1)*8,Table_names[מסד],Table_names[שם מלא])</f>
        <v>3 אדום</v>
      </c>
      <c r="G220" s="154">
        <f>IFERROR(_xlfn.XLOOKUP(Table13[[#This Row],[מס"ד]],TeamList[מס"ד],TeamList[מס'' הקבוצה]),"")</f>
        <v>1332</v>
      </c>
      <c r="I220" s="167"/>
    </row>
    <row r="221" spans="1:9" x14ac:dyDescent="0.65">
      <c r="A221" s="96">
        <v>11</v>
      </c>
      <c r="B221" s="154">
        <v>3</v>
      </c>
      <c r="C221" s="154">
        <f t="array" ref="C221">IFERROR(INDEX(TimeTable[מס"ד],MATCH(Table13[[#This Row],[מקצה]]&amp;Table13[[#This Row],[שולחן]],TimeTable[מס'' הרצה 3]&amp;TimeTable[שולחן הרצה 3],0)),"")</f>
        <v>43</v>
      </c>
      <c r="D221" s="154">
        <f>INT((COUNTA($D$178:D220))/4)+$D$178</f>
        <v>47</v>
      </c>
      <c r="E221" s="164">
        <f>IF(OR(Table13[[#This Row],[שולחן]]=$AA$3,Table13[[#This Row],[שולחן]]=$AA$7),E220+ORM,E220)</f>
        <v>0.62499999999999978</v>
      </c>
      <c r="F221" s="96" t="str">
        <f>_xlfn.XLOOKUP($Q105-(ROUNDUP(A221/2,0)-1)*8,Table_names[מסד],Table_names[שם מלא])</f>
        <v>4 אדום</v>
      </c>
      <c r="G221" s="154">
        <f>IFERROR(_xlfn.XLOOKUP(Table13[[#This Row],[מס"ד]],TeamList[מס"ד],TeamList[מס'' הקבוצה]),"")</f>
        <v>2748</v>
      </c>
      <c r="I221" s="167"/>
    </row>
    <row r="222" spans="1:9" x14ac:dyDescent="0.65">
      <c r="A222" s="96">
        <v>12</v>
      </c>
      <c r="B222" s="154">
        <v>3</v>
      </c>
      <c r="C222" s="154">
        <f t="array" ref="C222">IFERROR(INDEX(TimeTable[מס"ד],MATCH(Table13[[#This Row],[מקצה]]&amp;Table13[[#This Row],[שולחן]],TimeTable[מס'' הרצה 3]&amp;TimeTable[שולחן הרצה 3],0)),"")</f>
        <v>46</v>
      </c>
      <c r="D222" s="154">
        <f>INT((COUNTA($D$178:D221))/4)+$D$178</f>
        <v>48</v>
      </c>
      <c r="E222" s="164">
        <f>IF(OR(Table13[[#This Row],[שולחן]]=$AA$3,Table13[[#This Row],[שולחן]]=$AA$7),E221+ORM,E221)</f>
        <v>0.62847222222222199</v>
      </c>
      <c r="F222" s="96" t="str">
        <f>_xlfn.XLOOKUP($Q106-(ROUNDUP(A222/2,0)-1)*8,Table_names[מסד],Table_names[שם מלא])</f>
        <v>5 אדום</v>
      </c>
      <c r="G222" s="154">
        <f>IFERROR(_xlfn.XLOOKUP(Table13[[#This Row],[מס"ד]],TeamList[מס"ד],TeamList[מס'' הקבוצה]),"")</f>
        <v>2130</v>
      </c>
      <c r="I222" s="167"/>
    </row>
    <row r="223" spans="1:9" x14ac:dyDescent="0.65">
      <c r="A223" s="96">
        <v>12</v>
      </c>
      <c r="B223" s="154">
        <v>3</v>
      </c>
      <c r="C223" s="154">
        <f t="array" ref="C223">IFERROR(INDEX(TimeTable[מס"ד],MATCH(Table13[[#This Row],[מקצה]]&amp;Table13[[#This Row],[שולחן]],TimeTable[מס'' הרצה 3]&amp;TimeTable[שולחן הרצה 3],0)),"")</f>
        <v>45</v>
      </c>
      <c r="D223" s="154">
        <f>INT((COUNTA($D$178:D222))/4)+$D$178</f>
        <v>48</v>
      </c>
      <c r="E223" s="164">
        <f>IF(OR(Table13[[#This Row],[שולחן]]=$AA$3,Table13[[#This Row],[שולחן]]=$AA$7),E222+ORM,E222)</f>
        <v>0.62847222222222199</v>
      </c>
      <c r="F223" s="96" t="str">
        <f>_xlfn.XLOOKUP($Q107-(ROUNDUP(A223/2,0)-1)*8,Table_names[מסד],Table_names[שם מלא])</f>
        <v>6 אדום</v>
      </c>
      <c r="G223" s="154">
        <f>IFERROR(_xlfn.XLOOKUP(Table13[[#This Row],[מס"ד]],TeamList[מס"ד],TeamList[מס'' הקבוצה]),"")</f>
        <v>3006</v>
      </c>
      <c r="I223" s="167"/>
    </row>
    <row r="224" spans="1:9" x14ac:dyDescent="0.65">
      <c r="A224" s="96">
        <v>12</v>
      </c>
      <c r="B224" s="154">
        <v>3</v>
      </c>
      <c r="C224" s="154">
        <f t="array" ref="C224">IFERROR(INDEX(TimeTable[מס"ד],MATCH(Table13[[#This Row],[מקצה]]&amp;Table13[[#This Row],[שולחן]],TimeTable[מס'' הרצה 3]&amp;TimeTable[שולחן הרצה 3],0)),"")</f>
        <v>48</v>
      </c>
      <c r="D224" s="154">
        <f>INT((COUNTA($D$178:D223))/4)+$D$178</f>
        <v>48</v>
      </c>
      <c r="E224" s="164">
        <f>IF(OR(Table13[[#This Row],[שולחן]]=$AA$3,Table13[[#This Row],[שולחן]]=$AA$7),E223+ORM,E223)</f>
        <v>0.62847222222222199</v>
      </c>
      <c r="F224" s="96" t="str">
        <f>_xlfn.XLOOKUP($Q108-(ROUNDUP(A224/2,0)-1)*8,Table_names[מסד],Table_names[שם מלא])</f>
        <v>7 אדום</v>
      </c>
      <c r="G224" s="154">
        <f>IFERROR(_xlfn.XLOOKUP(Table13[[#This Row],[מס"ד]],TeamList[מס"ד],TeamList[מס'' הקבוצה]),"")</f>
        <v>1720</v>
      </c>
      <c r="I224" s="167"/>
    </row>
    <row r="225" spans="1:21" x14ac:dyDescent="0.65">
      <c r="A225" s="96">
        <v>12</v>
      </c>
      <c r="B225" s="154">
        <v>3</v>
      </c>
      <c r="C225" s="154">
        <f t="array" ref="C225">IFERROR(INDEX(TimeTable[מס"ד],MATCH(Table13[[#This Row],[מקצה]]&amp;Table13[[#This Row],[שולחן]],TimeTable[מס'' הרצה 3]&amp;TimeTable[שולחן הרצה 3],0)),"")</f>
        <v>47</v>
      </c>
      <c r="D225" s="154">
        <f>INT((COUNTA($D$178:D224))/4)+$D$178</f>
        <v>48</v>
      </c>
      <c r="E225" s="164">
        <f>IF(OR(Table13[[#This Row],[שולחן]]=$AA$3,Table13[[#This Row],[שולחן]]=$AA$7),E224+ORM,E224)</f>
        <v>0.62847222222222199</v>
      </c>
      <c r="F225" s="96" t="str">
        <f>_xlfn.XLOOKUP($Q109-(ROUNDUP(A225/2,0)-1)*8,Table_names[מסד],Table_names[שם מלא])</f>
        <v>8 אדום</v>
      </c>
      <c r="G225" s="154">
        <f>IFERROR(_xlfn.XLOOKUP(Table13[[#This Row],[מס"ד]],TeamList[מס"ד],TeamList[מס'' הקבוצה]),"")</f>
        <v>2843</v>
      </c>
      <c r="I225" s="167"/>
    </row>
    <row r="226" spans="1:21" x14ac:dyDescent="0.65">
      <c r="B226" s="154"/>
      <c r="C226" s="154"/>
      <c r="D226" s="154"/>
      <c r="E226" s="164"/>
      <c r="F226" s="96"/>
      <c r="G226" s="154"/>
      <c r="I226" s="167"/>
    </row>
    <row r="227" spans="1:21" x14ac:dyDescent="0.65">
      <c r="B227" s="154"/>
      <c r="C227" s="154"/>
      <c r="D227" s="154"/>
      <c r="E227" s="164"/>
      <c r="F227" s="96"/>
      <c r="G227" s="154"/>
      <c r="I227" s="167"/>
    </row>
    <row r="228" spans="1:21" x14ac:dyDescent="0.65">
      <c r="B228" s="154"/>
      <c r="C228" s="154"/>
      <c r="D228" s="154"/>
      <c r="E228" s="164"/>
      <c r="F228" s="96"/>
      <c r="G228" s="154"/>
      <c r="I228" s="167"/>
      <c r="L228" s="96"/>
      <c r="M228" s="157"/>
      <c r="N228" s="79"/>
      <c r="O228" s="96"/>
    </row>
    <row r="229" spans="1:21" x14ac:dyDescent="0.65">
      <c r="B229" s="154"/>
      <c r="C229" s="154"/>
      <c r="D229" s="154"/>
      <c r="E229" s="164"/>
      <c r="F229" s="96"/>
      <c r="G229" s="154"/>
      <c r="I229" s="167"/>
      <c r="L229" s="96"/>
      <c r="M229" s="157"/>
      <c r="N229" s="79"/>
      <c r="O229" s="96"/>
    </row>
    <row r="230" spans="1:21" x14ac:dyDescent="0.65">
      <c r="B230" s="154"/>
      <c r="C230" s="154"/>
      <c r="D230" s="154"/>
      <c r="E230" s="164"/>
      <c r="F230" s="96"/>
      <c r="G230" s="154"/>
      <c r="H230" s="167"/>
      <c r="I230" s="96"/>
      <c r="J230" s="157"/>
      <c r="K230" s="79"/>
      <c r="L230" s="71"/>
      <c r="M230" s="157"/>
      <c r="N230" s="79"/>
      <c r="O230" s="96"/>
      <c r="Q230" s="157"/>
      <c r="R230" s="96"/>
      <c r="S230" s="79"/>
      <c r="U230" s="71"/>
    </row>
    <row r="231" spans="1:21" x14ac:dyDescent="0.65">
      <c r="B231" s="154"/>
      <c r="C231" s="154"/>
      <c r="D231" s="154"/>
      <c r="E231" s="164"/>
      <c r="F231" s="96"/>
      <c r="G231" s="154"/>
      <c r="H231" s="167"/>
      <c r="I231" s="96"/>
      <c r="J231" s="157"/>
      <c r="K231" s="79"/>
      <c r="L231" s="71"/>
      <c r="M231" s="157"/>
      <c r="N231" s="79"/>
      <c r="O231" s="96"/>
      <c r="Q231" s="157"/>
      <c r="R231" s="96"/>
      <c r="S231" s="79"/>
      <c r="U231" s="71"/>
    </row>
    <row r="232" spans="1:21" x14ac:dyDescent="0.65">
      <c r="B232" s="154"/>
      <c r="C232" s="154"/>
      <c r="D232" s="154"/>
      <c r="E232" s="164"/>
      <c r="F232" s="96"/>
      <c r="G232" s="154"/>
      <c r="H232" s="167"/>
      <c r="I232" s="96"/>
      <c r="J232" s="71"/>
      <c r="K232" s="71"/>
      <c r="L232" s="96"/>
      <c r="M232" s="157"/>
      <c r="N232" s="79"/>
      <c r="O232" s="96"/>
      <c r="Q232" s="157"/>
      <c r="R232" s="96"/>
      <c r="S232" s="79"/>
      <c r="U232" s="71"/>
    </row>
    <row r="233" spans="1:21" x14ac:dyDescent="0.65">
      <c r="B233" s="154"/>
      <c r="C233" s="154"/>
      <c r="D233" s="154"/>
      <c r="E233" s="164"/>
      <c r="F233" s="96"/>
      <c r="G233" s="154"/>
      <c r="H233" s="79"/>
      <c r="I233" s="96"/>
      <c r="J233" s="71"/>
      <c r="K233" s="71"/>
      <c r="L233" s="96"/>
      <c r="M233" s="157"/>
      <c r="N233" s="79"/>
      <c r="O233" s="96"/>
      <c r="Q233" s="157"/>
      <c r="R233" s="96"/>
      <c r="S233" s="79"/>
      <c r="U233" s="71"/>
    </row>
    <row r="235" spans="1:21" ht="14.5" x14ac:dyDescent="0.7">
      <c r="A235" s="71"/>
      <c r="B235" s="171" t="s">
        <v>74</v>
      </c>
      <c r="C235" s="172" t="s">
        <v>55</v>
      </c>
      <c r="D235" s="173" t="s">
        <v>30</v>
      </c>
      <c r="E235" s="174" t="s">
        <v>36</v>
      </c>
      <c r="F235" s="173" t="s">
        <v>56</v>
      </c>
      <c r="G235" s="175" t="s">
        <v>57</v>
      </c>
      <c r="H235" s="196" t="s">
        <v>181</v>
      </c>
      <c r="J235" s="71"/>
    </row>
    <row r="236" spans="1:21" x14ac:dyDescent="0.65">
      <c r="A236" s="96">
        <v>1</v>
      </c>
      <c r="B236" s="154">
        <v>4</v>
      </c>
      <c r="C236" s="154" cm="1">
        <f t="array" ref="C236">IFERROR(INDEX(TimeTable[מס"ד],MATCH(Table135[[#This Row],[מקצה]]&amp;Table135[[#This Row],[שולחן]],TimeTable[מס'' הרצת טורניר]&amp;TimeTable[שולחן הרצת טורניר],0)),"")</f>
        <v>1</v>
      </c>
      <c r="D236" s="154">
        <f>_xlfn.XLOOKUP(N,break_scheduler['# of teams],break_scheduler[Round matches])*Table135[[#This Row],[Round]]+1</f>
        <v>49</v>
      </c>
      <c r="E236" s="164">
        <f>tournament</f>
        <v>0.66666666666666663</v>
      </c>
      <c r="F236" s="96" t="str">
        <f>_xlfn.XLOOKUP($Q62-(ROUNDUP(A236/2,0)-1)*16,Table7[מסד],Table7[שם מלא])</f>
        <v>1 אדום</v>
      </c>
      <c r="G236" s="154">
        <f>IFERROR(_xlfn.XLOOKUP(Table135[[#This Row],[מס"ד]],TeamList[מס"ד],TeamList[מס'' הקבוצה]),"")</f>
        <v>3163</v>
      </c>
      <c r="H236" s="154">
        <f>IFERROR(_xlfn.XLOOKUP(Table135[[#This Row],[מס"ד]],TeamList2[מס"ד],TeamList2[מס'' הקבוצה]),"")</f>
        <v>2476</v>
      </c>
      <c r="J236" s="71"/>
    </row>
    <row r="237" spans="1:21" x14ac:dyDescent="0.65">
      <c r="A237" s="96">
        <v>1</v>
      </c>
      <c r="B237" s="154">
        <v>4</v>
      </c>
      <c r="C237" s="154" cm="1">
        <f t="array" ref="C237">IFERROR(INDEX(TimeTable[מס"ד],MATCH(Table135[[#This Row],[מקצה]]&amp;Table135[[#This Row],[שולחן]],TimeTable[מס'' הרצת טורניר]&amp;TimeTable[שולחן הרצת טורניר],0)),"")</f>
        <v>7</v>
      </c>
      <c r="D237" s="154">
        <f>INT((COUNTA($D$236:D236))/8)+$D$236</f>
        <v>49</v>
      </c>
      <c r="E237" s="164">
        <f>IF(OR(Table135[[#This Row],[שולחן]]=$AA$15,Table135[[#This Row],[שולחן]]=$AA$23),E236+ORM,E236)</f>
        <v>0.66666666666666663</v>
      </c>
      <c r="F237" s="96" t="str">
        <f>_xlfn.XLOOKUP($Q63-(ROUNDUP(A237/2,0)-1)*8,Table7[מסד],Table7[שם מלא])</f>
        <v>1 כחול</v>
      </c>
      <c r="G237" s="154">
        <f>IFERROR(_xlfn.XLOOKUP(Table135[[#This Row],[מס"ד]],TeamList[מס"ד],TeamList[מס'' הקבוצה]),"")</f>
        <v>2623</v>
      </c>
      <c r="H237" s="154">
        <f>IFERROR(_xlfn.XLOOKUP(Table135[[#This Row],[מס"ד]],TeamList2[מס"ד],TeamList2[מס'' הקבוצה]),"")</f>
        <v>3022</v>
      </c>
    </row>
    <row r="238" spans="1:21" x14ac:dyDescent="0.65">
      <c r="A238" s="96">
        <v>1</v>
      </c>
      <c r="B238" s="154">
        <v>4</v>
      </c>
      <c r="C238" s="154" cm="1">
        <f t="array" ref="C238">IFERROR(INDEX(TimeTable[מס"ד],MATCH(Table135[[#This Row],[מקצה]]&amp;Table135[[#This Row],[שולחן]],TimeTable[מס'' הרצת טורניר]&amp;TimeTable[שולחן הרצת טורניר],0)),"")</f>
        <v>13</v>
      </c>
      <c r="D238" s="154">
        <f>INT((COUNTA($D$236:D237))/8)+$D$236</f>
        <v>49</v>
      </c>
      <c r="E238" s="164">
        <f>IF(OR(Table135[[#This Row],[שולחן]]=$AA$15,Table135[[#This Row],[שולחן]]=$AA$23),E237+ORM,E237)</f>
        <v>0.66666666666666663</v>
      </c>
      <c r="F238" s="96" t="str">
        <f>_xlfn.XLOOKUP($Q64-(ROUNDUP(A238/2,0)-1)*8,Table7[מסד],Table7[שם מלא])</f>
        <v>2 אדום</v>
      </c>
      <c r="G238" s="154">
        <f>IFERROR(_xlfn.XLOOKUP(Table135[[#This Row],[מס"ד]],TeamList[מס"ד],TeamList[מס'' הקבוצה]),"")</f>
        <v>3185</v>
      </c>
      <c r="H238" s="154">
        <f>IFERROR(_xlfn.XLOOKUP(Table135[[#This Row],[מס"ד]],TeamList2[מס"ד],TeamList2[מס'' הקבוצה]),"")</f>
        <v>2649</v>
      </c>
    </row>
    <row r="239" spans="1:21" x14ac:dyDescent="0.65">
      <c r="A239" s="96">
        <v>1</v>
      </c>
      <c r="B239" s="154">
        <v>4</v>
      </c>
      <c r="C239" s="154" cm="1">
        <f t="array" ref="C239">IFERROR(INDEX(TimeTable[מס"ד],MATCH(Table135[[#This Row],[מקצה]]&amp;Table135[[#This Row],[שולחן]],TimeTable[מס'' הרצת טורניר]&amp;TimeTable[שולחן הרצת טורניר],0)),"")</f>
        <v>19</v>
      </c>
      <c r="D239" s="154">
        <f>INT((COUNTA($D$236:D238))/8)+$D$236</f>
        <v>49</v>
      </c>
      <c r="E239" s="164">
        <f>IF(OR(Table135[[#This Row],[שולחן]]=$AA$15,Table135[[#This Row],[שולחן]]=$AA$23),E238+ORM,E238)</f>
        <v>0.66666666666666663</v>
      </c>
      <c r="F239" s="96" t="str">
        <f>_xlfn.XLOOKUP($Q65-(ROUNDUP(A239/2,0)-1)*8,Table7[מסד],Table7[שם מלא])</f>
        <v>2 כחול</v>
      </c>
      <c r="G239" s="154">
        <f>IFERROR(_xlfn.XLOOKUP(Table135[[#This Row],[מס"ד]],TeamList[מס"ד],TeamList[מס'' הקבוצה]),"")</f>
        <v>341</v>
      </c>
      <c r="H239" s="154">
        <f>IFERROR(_xlfn.XLOOKUP(Table135[[#This Row],[מס"ד]],TeamList2[מס"ד],TeamList2[מס'' הקבוצה]),"")</f>
        <v>1331</v>
      </c>
    </row>
    <row r="240" spans="1:21" x14ac:dyDescent="0.65">
      <c r="A240" s="96">
        <v>1</v>
      </c>
      <c r="B240" s="154">
        <v>4</v>
      </c>
      <c r="C240" s="154" cm="1">
        <f t="array" ref="C240">IFERROR(INDEX(TimeTable[מס"ד],MATCH(Table135[[#This Row],[מקצה]]&amp;Table135[[#This Row],[שולחן]],TimeTable[מס'' הרצת טורניר]&amp;TimeTable[שולחן הרצת טורניר],0)),"")</f>
        <v>25</v>
      </c>
      <c r="D240" s="154">
        <f>INT((COUNTA($D$236:D239))/8)+$D$236</f>
        <v>49</v>
      </c>
      <c r="E240" s="164">
        <f>IF(OR(Table135[[#This Row],[שולחן]]=$AA$15,Table135[[#This Row],[שולחן]]=$AA$23),E239+ORM,E239)</f>
        <v>0.66666666666666663</v>
      </c>
      <c r="F240" s="96" t="str">
        <f>_xlfn.XLOOKUP($Q66-(ROUNDUP(A240/2,0)-1)*8,Table7[מסד],Table7[שם מלא])</f>
        <v>3 אדום</v>
      </c>
      <c r="G240" s="154">
        <f>IFERROR(_xlfn.XLOOKUP(Table135[[#This Row],[מס"ד]],TeamList[מס"ד],TeamList[מס'' הקבוצה]),"")</f>
        <v>2840</v>
      </c>
      <c r="H240" s="154">
        <f>IFERROR(_xlfn.XLOOKUP(Table135[[#This Row],[מס"ד]],TeamList2[מס"ד],TeamList2[מס'' הקבוצה]),"")</f>
        <v>3251</v>
      </c>
    </row>
    <row r="241" spans="1:8" x14ac:dyDescent="0.65">
      <c r="A241" s="96">
        <v>1</v>
      </c>
      <c r="B241" s="154">
        <v>4</v>
      </c>
      <c r="C241" s="154" cm="1">
        <f t="array" ref="C241">IFERROR(INDEX(TimeTable[מס"ד],MATCH(Table135[[#This Row],[מקצה]]&amp;Table135[[#This Row],[שולחן]],TimeTable[מס'' הרצת טורניר]&amp;TimeTable[שולחן הרצת טורניר],0)),"")</f>
        <v>31</v>
      </c>
      <c r="D241" s="154">
        <f>INT((COUNTA($D$236:D240))/8)+$D$236</f>
        <v>49</v>
      </c>
      <c r="E241" s="164">
        <f>IF(OR(Table135[[#This Row],[שולחן]]=$AA$15,Table135[[#This Row],[שולחן]]=$AA$23),E240+ORM,E240)</f>
        <v>0.66666666666666663</v>
      </c>
      <c r="F241" s="96" t="str">
        <f>_xlfn.XLOOKUP($Q67-(ROUNDUP(A241/2,0)-1)*8,Table7[מסד],Table7[שם מלא])</f>
        <v>3 כחול</v>
      </c>
      <c r="G241" s="154">
        <f>IFERROR(_xlfn.XLOOKUP(Table135[[#This Row],[מס"ד]],TeamList[מס"ד],TeamList[מס'' הקבוצה]),"")</f>
        <v>1301</v>
      </c>
      <c r="H241" s="154">
        <f>IFERROR(_xlfn.XLOOKUP(Table135[[#This Row],[מס"ד]],TeamList2[מס"ד],TeamList2[מס'' הקבוצה]),"")</f>
        <v>888</v>
      </c>
    </row>
    <row r="242" spans="1:8" x14ac:dyDescent="0.65">
      <c r="A242" s="96">
        <v>1</v>
      </c>
      <c r="B242" s="154">
        <v>4</v>
      </c>
      <c r="C242" s="154" cm="1">
        <f t="array" ref="C242">IFERROR(INDEX(TimeTable[מס"ד],MATCH(Table135[[#This Row],[מקצה]]&amp;Table135[[#This Row],[שולחן]],TimeTable[מס'' הרצת טורניר]&amp;TimeTable[שולחן הרצת טורניר],0)),"")</f>
        <v>37</v>
      </c>
      <c r="D242" s="154">
        <f>INT((COUNTA($D$236:D241))/8)+$D$236</f>
        <v>49</v>
      </c>
      <c r="E242" s="164">
        <f>IF(OR(Table135[[#This Row],[שולחן]]=$AA$15,Table135[[#This Row],[שולחן]]=$AA$23),E241+ORM,E241)</f>
        <v>0.66666666666666663</v>
      </c>
      <c r="F242" s="96" t="str">
        <f>_xlfn.XLOOKUP($Q68-(ROUNDUP(A242/2,0)-1)*8,Table7[מסד],Table7[שם מלא])</f>
        <v>4 אדום</v>
      </c>
      <c r="G242" s="154">
        <f>IFERROR(_xlfn.XLOOKUP(Table135[[#This Row],[מס"ד]],TeamList[מס"ד],TeamList[מס'' הקבוצה]),"")</f>
        <v>1300</v>
      </c>
      <c r="H242" s="154">
        <f>IFERROR(_xlfn.XLOOKUP(Table135[[#This Row],[מס"ד]],TeamList2[מס"ד],TeamList2[מס'' הקבוצה]),"")</f>
        <v>973</v>
      </c>
    </row>
    <row r="243" spans="1:8" x14ac:dyDescent="0.65">
      <c r="A243" s="96">
        <v>1</v>
      </c>
      <c r="B243" s="154">
        <v>4</v>
      </c>
      <c r="C243" s="154" cm="1">
        <f t="array" ref="C243">IFERROR(INDEX(TimeTable[מס"ד],MATCH(Table135[[#This Row],[מקצה]]&amp;Table135[[#This Row],[שולחן]],TimeTable[מס'' הרצת טורניר]&amp;TimeTable[שולחן הרצת טורניר],0)),"")</f>
        <v>43</v>
      </c>
      <c r="D243" s="154">
        <f>INT((COUNTA($D$236:D242))/8)+$D$236</f>
        <v>49</v>
      </c>
      <c r="E243" s="164">
        <f>IF(OR(Table135[[#This Row],[שולחן]]=$AA$15,Table135[[#This Row],[שולחן]]=$AA$23),E242+ORM,E242)</f>
        <v>0.66666666666666663</v>
      </c>
      <c r="F243" s="96" t="str">
        <f>_xlfn.XLOOKUP($Q69-(ROUNDUP(A243/2,0)-1)*8,Table7[מסד],Table7[שם מלא])</f>
        <v>4 כחול</v>
      </c>
      <c r="G243" s="154">
        <f>IFERROR(_xlfn.XLOOKUP(Table135[[#This Row],[מס"ד]],TeamList[מס"ד],TeamList[מס'' הקבוצה]),"")</f>
        <v>2748</v>
      </c>
      <c r="H243" s="154">
        <f>IFERROR(_xlfn.XLOOKUP(Table135[[#This Row],[מס"ד]],TeamList2[מס"ד],TeamList2[מס'' הקבוצה]),"")</f>
        <v>2918</v>
      </c>
    </row>
    <row r="244" spans="1:8" x14ac:dyDescent="0.65">
      <c r="A244" s="96">
        <v>2</v>
      </c>
      <c r="B244" s="154">
        <v>4</v>
      </c>
      <c r="C244" s="154" cm="1">
        <f t="array" ref="C244">IFERROR(INDEX(TimeTable[מס"ד],MATCH(Table135[[#This Row],[מקצה]]&amp;Table135[[#This Row],[שולחן]],TimeTable[מס'' הרצת טורניר]&amp;TimeTable[שולחן הרצת טורניר],0)),"")</f>
        <v>2</v>
      </c>
      <c r="D244" s="154">
        <f>INT((COUNTA($D$236:D243))/8)+$D$236</f>
        <v>50</v>
      </c>
      <c r="E244" s="164">
        <f>IF(OR(Table135[[#This Row],[שולחן]]=$AA$15,Table135[[#This Row],[שולחן]]=$AA$23),E243+ORM,E243)</f>
        <v>0.67013888888888884</v>
      </c>
      <c r="F244" s="96" t="str">
        <f>_xlfn.XLOOKUP($Q70-(ROUNDUP(A244/2,0)-1)*8,Table7[מסד],Table7[שם מלא])</f>
        <v>5 אדום</v>
      </c>
      <c r="G244" s="154">
        <f>IFERROR(_xlfn.XLOOKUP(Table135[[#This Row],[מס"ד]],TeamList[מס"ד],TeamList[מס'' הקבוצה]),"")</f>
        <v>3180</v>
      </c>
      <c r="H244" s="154">
        <f>IFERROR(_xlfn.XLOOKUP(Table135[[#This Row],[מס"ד]],TeamList2[מס"ד],TeamList2[מס'' הקבוצה]),"")</f>
        <v>787</v>
      </c>
    </row>
    <row r="245" spans="1:8" x14ac:dyDescent="0.65">
      <c r="A245" s="96">
        <v>2</v>
      </c>
      <c r="B245" s="154">
        <v>4</v>
      </c>
      <c r="C245" s="154" cm="1">
        <f t="array" ref="C245">IFERROR(INDEX(TimeTable[מס"ד],MATCH(Table135[[#This Row],[מקצה]]&amp;Table135[[#This Row],[שולחן]],TimeTable[מס'' הרצת טורניר]&amp;TimeTable[שולחן הרצת טורניר],0)),"")</f>
        <v>8</v>
      </c>
      <c r="D245" s="154">
        <f>INT((COUNTA($D$236:D244))/8)+$D$236</f>
        <v>50</v>
      </c>
      <c r="E245" s="164">
        <f>IF(OR(Table135[[#This Row],[שולחן]]=$AA$15,Table135[[#This Row],[שולחן]]=$AA$23),E244+ORM,E244)</f>
        <v>0.67013888888888884</v>
      </c>
      <c r="F245" s="96" t="str">
        <f>_xlfn.XLOOKUP($Q71-(ROUNDUP(A245/2,0)-1)*8,Table7[מסד],Table7[שם מלא])</f>
        <v>5 כחול</v>
      </c>
      <c r="G245" s="154">
        <f>IFERROR(_xlfn.XLOOKUP(Table135[[#This Row],[מס"ד]],TeamList[מס"ד],TeamList[מס'' הקבוצה]),"")</f>
        <v>2978</v>
      </c>
      <c r="H245" s="154">
        <f>IFERROR(_xlfn.XLOOKUP(Table135[[#This Row],[מס"ד]],TeamList2[מס"ד],TeamList2[מס'' הקבוצה]),"")</f>
        <v>452</v>
      </c>
    </row>
    <row r="246" spans="1:8" x14ac:dyDescent="0.65">
      <c r="A246" s="96">
        <v>2</v>
      </c>
      <c r="B246" s="154">
        <v>4</v>
      </c>
      <c r="C246" s="154" cm="1">
        <f t="array" ref="C246">IFERROR(INDEX(TimeTable[מס"ד],MATCH(Table135[[#This Row],[מקצה]]&amp;Table135[[#This Row],[שולחן]],TimeTable[מס'' הרצת טורניר]&amp;TimeTable[שולחן הרצת טורניר],0)),"")</f>
        <v>14</v>
      </c>
      <c r="D246" s="154">
        <f>INT((COUNTA($D$236:D245))/8)+$D$236</f>
        <v>50</v>
      </c>
      <c r="E246" s="164">
        <f>IF(OR(Table135[[#This Row],[שולחן]]=$AA$15,Table135[[#This Row],[שולחן]]=$AA$23),E245+ORM,E245)</f>
        <v>0.67013888888888884</v>
      </c>
      <c r="F246" s="96" t="str">
        <f>_xlfn.XLOOKUP($Q72-(ROUNDUP(A246/2,0)-1)*8,Table7[מסד],Table7[שם מלא])</f>
        <v>6 אדום</v>
      </c>
      <c r="G246" s="154">
        <f>IFERROR(_xlfn.XLOOKUP(Table135[[#This Row],[מס"ד]],TeamList[מס"ד],TeamList[מס'' הקבוצה]),"")</f>
        <v>3179</v>
      </c>
      <c r="H246" s="154">
        <f>IFERROR(_xlfn.XLOOKUP(Table135[[#This Row],[מס"ד]],TeamList2[מס"ד],TeamList2[מס'' הקבוצה]),"")</f>
        <v>2331</v>
      </c>
    </row>
    <row r="247" spans="1:8" x14ac:dyDescent="0.65">
      <c r="A247" s="96">
        <v>2</v>
      </c>
      <c r="B247" s="154">
        <v>4</v>
      </c>
      <c r="C247" s="154" cm="1">
        <f t="array" ref="C247">IFERROR(INDEX(TimeTable[מס"ד],MATCH(Table135[[#This Row],[מקצה]]&amp;Table135[[#This Row],[שולחן]],TimeTable[מס'' הרצת טורניר]&amp;TimeTable[שולחן הרצת טורניר],0)),"")</f>
        <v>20</v>
      </c>
      <c r="D247" s="154">
        <f>INT((COUNTA($D$236:D246))/8)+$D$236</f>
        <v>50</v>
      </c>
      <c r="E247" s="164">
        <f>IF(OR(Table135[[#This Row],[שולחן]]=$AA$15,Table135[[#This Row],[שולחן]]=$AA$23),E246+ORM,E246)</f>
        <v>0.67013888888888884</v>
      </c>
      <c r="F247" s="96" t="str">
        <f>_xlfn.XLOOKUP($Q73-(ROUNDUP(A247/2,0)-1)*8,Table7[מסד],Table7[שם מלא])</f>
        <v>6 כחול</v>
      </c>
      <c r="G247" s="154">
        <f>IFERROR(_xlfn.XLOOKUP(Table135[[#This Row],[מס"ד]],TeamList[מס"ד],TeamList[מס'' הקבוצה]),"")</f>
        <v>2222</v>
      </c>
      <c r="H247" s="154">
        <f>IFERROR(_xlfn.XLOOKUP(Table135[[#This Row],[מס"ד]],TeamList2[מס"ד],TeamList2[מס'' הקבוצה]),"")</f>
        <v>3140</v>
      </c>
    </row>
    <row r="248" spans="1:8" x14ac:dyDescent="0.65">
      <c r="A248" s="96">
        <v>2</v>
      </c>
      <c r="B248" s="154">
        <v>4</v>
      </c>
      <c r="C248" s="154" cm="1">
        <f t="array" ref="C248">IFERROR(INDEX(TimeTable[מס"ד],MATCH(Table135[[#This Row],[מקצה]]&amp;Table135[[#This Row],[שולחן]],TimeTable[מס'' הרצת טורניר]&amp;TimeTable[שולחן הרצת טורניר],0)),"")</f>
        <v>26</v>
      </c>
      <c r="D248" s="154">
        <f>INT((COUNTA($D$236:D247))/8)+$D$236</f>
        <v>50</v>
      </c>
      <c r="E248" s="164">
        <f>IF(OR(Table135[[#This Row],[שולחן]]=$AA$15,Table135[[#This Row],[שולחן]]=$AA$23),E247+ORM,E247)</f>
        <v>0.67013888888888884</v>
      </c>
      <c r="F248" s="96" t="str">
        <f>_xlfn.XLOOKUP($Q74-(ROUNDUP(A248/2,0)-1)*8,Table7[מסד],Table7[שם מלא])</f>
        <v>7 אדום</v>
      </c>
      <c r="G248" s="154">
        <f>IFERROR(_xlfn.XLOOKUP(Table135[[#This Row],[מס"ד]],TeamList[מס"ד],TeamList[מס'' הקבוצה]),"")</f>
        <v>52</v>
      </c>
      <c r="H248" s="154">
        <f>IFERROR(_xlfn.XLOOKUP(Table135[[#This Row],[מס"ד]],TeamList2[מס"ד],TeamList2[מס'' הקבוצה]),"")</f>
        <v>518</v>
      </c>
    </row>
    <row r="249" spans="1:8" x14ac:dyDescent="0.65">
      <c r="A249" s="96">
        <v>2</v>
      </c>
      <c r="B249" s="154">
        <v>4</v>
      </c>
      <c r="C249" s="154" cm="1">
        <f t="array" ref="C249">IFERROR(INDEX(TimeTable[מס"ד],MATCH(Table135[[#This Row],[מקצה]]&amp;Table135[[#This Row],[שולחן]],TimeTable[מס'' הרצת טורניר]&amp;TimeTable[שולחן הרצת טורניר],0)),"")</f>
        <v>32</v>
      </c>
      <c r="D249" s="154">
        <f>INT((COUNTA($D$236:D248))/8)+$D$236</f>
        <v>50</v>
      </c>
      <c r="E249" s="164">
        <f>IF(OR(Table135[[#This Row],[שולחן]]=$AA$15,Table135[[#This Row],[שולחן]]=$AA$23),E248+ORM,E248)</f>
        <v>0.67013888888888884</v>
      </c>
      <c r="F249" s="96" t="str">
        <f>_xlfn.XLOOKUP($Q75-(ROUNDUP(A249/2,0)-1)*8,Table7[מסד],Table7[שם מלא])</f>
        <v>7 כחול</v>
      </c>
      <c r="G249" s="154">
        <f>IFERROR(_xlfn.XLOOKUP(Table135[[#This Row],[מס"ד]],TeamList[מס"ד],TeamList[מס'' הקבוצה]),"")</f>
        <v>3182</v>
      </c>
      <c r="H249" s="154">
        <f>IFERROR(_xlfn.XLOOKUP(Table135[[#This Row],[מס"ד]],TeamList2[מס"ד],TeamList2[מס'' הקבוצה]),"")</f>
        <v>3100</v>
      </c>
    </row>
    <row r="250" spans="1:8" x14ac:dyDescent="0.65">
      <c r="A250" s="96">
        <v>2</v>
      </c>
      <c r="B250" s="154">
        <v>4</v>
      </c>
      <c r="C250" s="154" cm="1">
        <f t="array" ref="C250">IFERROR(INDEX(TimeTable[מס"ד],MATCH(Table135[[#This Row],[מקצה]]&amp;Table135[[#This Row],[שולחן]],TimeTable[מס'' הרצת טורניר]&amp;TimeTable[שולחן הרצת טורניר],0)),"")</f>
        <v>38</v>
      </c>
      <c r="D250" s="154">
        <f>INT((COUNTA($D$236:D249))/8)+$D$236</f>
        <v>50</v>
      </c>
      <c r="E250" s="164">
        <f>IF(OR(Table135[[#This Row],[שולחן]]=$AA$15,Table135[[#This Row],[שולחן]]=$AA$23),E249+ORM,E249)</f>
        <v>0.67013888888888884</v>
      </c>
      <c r="F250" s="96" t="str">
        <f>_xlfn.XLOOKUP($Q76-(ROUNDUP(A250/2,0)-1)*8,Table7[מסד],Table7[שם מלא])</f>
        <v>8 אדום</v>
      </c>
      <c r="G250" s="154">
        <f>IFERROR(_xlfn.XLOOKUP(Table135[[#This Row],[מס"ד]],TeamList[מס"ד],TeamList[מס'' הקבוצה]),"")</f>
        <v>3340</v>
      </c>
      <c r="H250" s="154">
        <f>IFERROR(_xlfn.XLOOKUP(Table135[[#This Row],[מס"ד]],TeamList2[מס"ד],TeamList2[מס'' הקבוצה]),"")</f>
        <v>2648</v>
      </c>
    </row>
    <row r="251" spans="1:8" x14ac:dyDescent="0.65">
      <c r="A251" s="96">
        <v>2</v>
      </c>
      <c r="B251" s="154">
        <v>4</v>
      </c>
      <c r="C251" s="154" cm="1">
        <f t="array" ref="C251">IFERROR(INDEX(TimeTable[מס"ד],MATCH(Table135[[#This Row],[מקצה]]&amp;Table135[[#This Row],[שולחן]],TimeTable[מס'' הרצת טורניר]&amp;TimeTable[שולחן הרצת טורניר],0)),"")</f>
        <v>44</v>
      </c>
      <c r="D251" s="154">
        <f>INT((COUNTA($D$236:D250))/8)+$D$236</f>
        <v>50</v>
      </c>
      <c r="E251" s="164">
        <f>IF(OR(Table135[[#This Row],[שולחן]]=$AA$15,Table135[[#This Row],[שולחן]]=$AA$23),E250+ORM,E250)</f>
        <v>0.67013888888888884</v>
      </c>
      <c r="F251" s="96" t="str">
        <f>_xlfn.XLOOKUP($Q77-(ROUNDUP(A251/2,0)-1)*8,Table7[מסד],Table7[שם מלא])</f>
        <v>8 כחול</v>
      </c>
      <c r="G251" s="154">
        <f>IFERROR(_xlfn.XLOOKUP(Table135[[#This Row],[מס"ד]],TeamList[מס"ד],TeamList[מס'' הקבוצה]),"")</f>
        <v>1332</v>
      </c>
      <c r="H251" s="154">
        <f>IFERROR(_xlfn.XLOOKUP(Table135[[#This Row],[מס"ד]],TeamList2[מס"ד],TeamList2[מס'' הקבוצה]),"")</f>
        <v>1517</v>
      </c>
    </row>
    <row r="252" spans="1:8" x14ac:dyDescent="0.65">
      <c r="A252" s="96">
        <v>3</v>
      </c>
      <c r="B252" s="154">
        <v>4</v>
      </c>
      <c r="C252" s="154" cm="1">
        <f t="array" ref="C252">IFERROR(INDEX(TimeTable[מס"ד],MATCH(Table135[[#This Row],[מקצה]]&amp;Table135[[#This Row],[שולחן]],TimeTable[מס'' הרצת טורניר]&amp;TimeTable[שולחן הרצת טורניר],0)),"")</f>
        <v>3</v>
      </c>
      <c r="D252" s="154">
        <f>INT((COUNTA($D$236:D251))/8)+$D$236</f>
        <v>51</v>
      </c>
      <c r="E252" s="164">
        <f>IF(OR(Table135[[#This Row],[שולחן]]=$AA$15,Table135[[#This Row],[שולחן]]=$AA$23),E251+ORM,E251)</f>
        <v>0.67361111111111105</v>
      </c>
      <c r="F252" s="96" t="str">
        <f>_xlfn.XLOOKUP($Q78-(ROUNDUP(A252/2,0)-1)*16,Table7[מסד],Table7[שם מלא])</f>
        <v>1 אדום</v>
      </c>
      <c r="G252" s="154">
        <f>IFERROR(_xlfn.XLOOKUP(Table135[[#This Row],[מס"ד]],TeamList[מס"ד],TeamList[מס'' הקבוצה]),"")</f>
        <v>1042</v>
      </c>
      <c r="H252" s="154">
        <f>IFERROR(_xlfn.XLOOKUP(Table135[[#This Row],[מס"ד]],TeamList2[מס"ד],TeamList2[מס'' הקבוצה]),"")</f>
        <v>696</v>
      </c>
    </row>
    <row r="253" spans="1:8" x14ac:dyDescent="0.65">
      <c r="A253" s="96">
        <v>3</v>
      </c>
      <c r="B253" s="154">
        <v>4</v>
      </c>
      <c r="C253" s="154" cm="1">
        <f t="array" ref="C253">IFERROR(INDEX(TimeTable[מס"ד],MATCH(Table135[[#This Row],[מקצה]]&amp;Table135[[#This Row],[שולחן]],TimeTable[מס'' הרצת טורניר]&amp;TimeTable[שולחן הרצת טורניר],0)),"")</f>
        <v>9</v>
      </c>
      <c r="D253" s="154">
        <f>INT((COUNTA($D$236:D252))/8)+$D$236</f>
        <v>51</v>
      </c>
      <c r="E253" s="164">
        <f>IF(OR(Table135[[#This Row],[שולחן]]=$AA$15,Table135[[#This Row],[שולחן]]=$AA$23),E252+ORM,E252)</f>
        <v>0.67361111111111105</v>
      </c>
      <c r="F253" s="96" t="str">
        <f>_xlfn.XLOOKUP($Q79-(ROUNDUP(A253/2,0)-1)*16,Table7[מסד],Table7[שם מלא])</f>
        <v>1 כחול</v>
      </c>
      <c r="G253" s="154">
        <f>IFERROR(_xlfn.XLOOKUP(Table135[[#This Row],[מס"ד]],TeamList[מס"ד],TeamList[מס'' הקבוצה]),"")</f>
        <v>588</v>
      </c>
      <c r="H253" s="154">
        <f>IFERROR(_xlfn.XLOOKUP(Table135[[#This Row],[מס"ד]],TeamList2[מס"ד],TeamList2[מס'' הקבוצה]),"")</f>
        <v>3093</v>
      </c>
    </row>
    <row r="254" spans="1:8" x14ac:dyDescent="0.65">
      <c r="A254" s="96">
        <v>3</v>
      </c>
      <c r="B254" s="154">
        <v>4</v>
      </c>
      <c r="C254" s="154" cm="1">
        <f t="array" ref="C254">IFERROR(INDEX(TimeTable[מס"ד],MATCH(Table135[[#This Row],[מקצה]]&amp;Table135[[#This Row],[שולחן]],TimeTable[מס'' הרצת טורניר]&amp;TimeTable[שולחן הרצת טורניר],0)),"")</f>
        <v>15</v>
      </c>
      <c r="D254" s="154">
        <f>INT((COUNTA($D$236:D253))/8)+$D$236</f>
        <v>51</v>
      </c>
      <c r="E254" s="164">
        <f>IF(OR(Table135[[#This Row],[שולחן]]=$AA$15,Table135[[#This Row],[שולחן]]=$AA$23),E253+ORM,E253)</f>
        <v>0.67361111111111105</v>
      </c>
      <c r="F254" s="96" t="str">
        <f>_xlfn.XLOOKUP($Q80-(ROUNDUP(A254/2,0)-1)*16,Table7[מסד],Table7[שם מלא])</f>
        <v>2 אדום</v>
      </c>
      <c r="G254" s="154">
        <f>IFERROR(_xlfn.XLOOKUP(Table135[[#This Row],[מס"ד]],TeamList[מס"ד],TeamList[מס'' הקבוצה]),"")</f>
        <v>3146</v>
      </c>
      <c r="H254" s="154">
        <f>IFERROR(_xlfn.XLOOKUP(Table135[[#This Row],[מס"ד]],TeamList2[מס"ד],TeamList2[מס'' הקבוצה]),"")</f>
        <v>2333</v>
      </c>
    </row>
    <row r="255" spans="1:8" x14ac:dyDescent="0.65">
      <c r="A255" s="96">
        <v>3</v>
      </c>
      <c r="B255" s="154">
        <v>4</v>
      </c>
      <c r="C255" s="154" cm="1">
        <f t="array" ref="C255">IFERROR(INDEX(TimeTable[מס"ד],MATCH(Table135[[#This Row],[מקצה]]&amp;Table135[[#This Row],[שולחן]],TimeTable[מס'' הרצת טורניר]&amp;TimeTable[שולחן הרצת טורניר],0)),"")</f>
        <v>21</v>
      </c>
      <c r="D255" s="154">
        <f>INT((COUNTA($D$236:D254))/8)+$D$236</f>
        <v>51</v>
      </c>
      <c r="E255" s="164">
        <f>IF(OR(Table135[[#This Row],[שולחן]]=$AA$15,Table135[[#This Row],[שולחן]]=$AA$23),E254+ORM,E254)</f>
        <v>0.67361111111111105</v>
      </c>
      <c r="F255" s="96" t="str">
        <f>_xlfn.XLOOKUP($Q81-(ROUNDUP(A255/2,0)-1)*16,Table7[מסד],Table7[שם מלא])</f>
        <v>2 כחול</v>
      </c>
      <c r="G255" s="154">
        <f>IFERROR(_xlfn.XLOOKUP(Table135[[#This Row],[מס"ד]],TeamList[מס"ד],TeamList[מס'' הקבוצה]),"")</f>
        <v>3181</v>
      </c>
      <c r="H255" s="154">
        <f>IFERROR(_xlfn.XLOOKUP(Table135[[#This Row],[מס"ד]],TeamList2[מס"ד],TeamList2[מס'' הקבוצה]),"")</f>
        <v>3191</v>
      </c>
    </row>
    <row r="256" spans="1:8" x14ac:dyDescent="0.65">
      <c r="A256" s="96">
        <v>3</v>
      </c>
      <c r="B256" s="154">
        <v>4</v>
      </c>
      <c r="C256" s="154" cm="1">
        <f t="array" ref="C256">IFERROR(INDEX(TimeTable[מס"ד],MATCH(Table135[[#This Row],[מקצה]]&amp;Table135[[#This Row],[שולחן]],TimeTable[מס'' הרצת טורניר]&amp;TimeTable[שולחן הרצת טורניר],0)),"")</f>
        <v>27</v>
      </c>
      <c r="D256" s="154">
        <f>INT((COUNTA($D$236:D255))/8)+$D$236</f>
        <v>51</v>
      </c>
      <c r="E256" s="164">
        <f>IF(OR(Table135[[#This Row],[שולחן]]=$AA$15,Table135[[#This Row],[שולחן]]=$AA$23),E255+ORM,E255)</f>
        <v>0.67361111111111105</v>
      </c>
      <c r="F256" s="96" t="str">
        <f>_xlfn.XLOOKUP($Q82-(ROUNDUP(A256/2,0)-1)*16,Table7[מסד],Table7[שם מלא])</f>
        <v>3 אדום</v>
      </c>
      <c r="G256" s="154">
        <f>IFERROR(_xlfn.XLOOKUP(Table135[[#This Row],[מס"ד]],TeamList[מס"ד],TeamList[מס'' הקבוצה]),"")</f>
        <v>240</v>
      </c>
      <c r="H256" s="154">
        <f>IFERROR(_xlfn.XLOOKUP(Table135[[#This Row],[מס"ד]],TeamList2[מס"ד],TeamList2[מס'' הקבוצה]),"")</f>
        <v>2848</v>
      </c>
    </row>
    <row r="257" spans="1:8" x14ac:dyDescent="0.65">
      <c r="A257" s="96">
        <v>3</v>
      </c>
      <c r="B257" s="154">
        <v>4</v>
      </c>
      <c r="C257" s="154" cm="1">
        <f t="array" ref="C257">IFERROR(INDEX(TimeTable[מס"ד],MATCH(Table135[[#This Row],[מקצה]]&amp;Table135[[#This Row],[שולחן]],TimeTable[מס'' הרצת טורניר]&amp;TimeTable[שולחן הרצת טורניר],0)),"")</f>
        <v>33</v>
      </c>
      <c r="D257" s="154">
        <f>INT((COUNTA($D$236:D256))/8)+$D$236</f>
        <v>51</v>
      </c>
      <c r="E257" s="164">
        <f>IF(OR(Table135[[#This Row],[שולחן]]=$AA$15,Table135[[#This Row],[שולחן]]=$AA$23),E256+ORM,E256)</f>
        <v>0.67361111111111105</v>
      </c>
      <c r="F257" s="96" t="str">
        <f>_xlfn.XLOOKUP($Q83-(ROUNDUP(A257/2,0)-1)*16,Table7[מסד],Table7[שם מלא])</f>
        <v>3 כחול</v>
      </c>
      <c r="G257" s="154">
        <f>IFERROR(_xlfn.XLOOKUP(Table135[[#This Row],[מס"ד]],TeamList[מס"ד],TeamList[מס'' הקבוצה]),"")</f>
        <v>1324</v>
      </c>
      <c r="H257" s="154">
        <f>IFERROR(_xlfn.XLOOKUP(Table135[[#This Row],[מס"ד]],TeamList2[מס"ד],TeamList2[מס'' הקבוצה]),"")</f>
        <v>453</v>
      </c>
    </row>
    <row r="258" spans="1:8" x14ac:dyDescent="0.65">
      <c r="A258" s="96">
        <v>3</v>
      </c>
      <c r="B258" s="154">
        <v>4</v>
      </c>
      <c r="C258" s="154" cm="1">
        <f t="array" ref="C258">IFERROR(INDEX(TimeTable[מס"ד],MATCH(Table135[[#This Row],[מקצה]]&amp;Table135[[#This Row],[שולחן]],TimeTable[מס'' הרצת טורניר]&amp;TimeTable[שולחן הרצת טורניר],0)),"")</f>
        <v>39</v>
      </c>
      <c r="D258" s="154">
        <f>INT((COUNTA($D$236:D257))/8)+$D$236</f>
        <v>51</v>
      </c>
      <c r="E258" s="164">
        <f>IF(OR(Table135[[#This Row],[שולחן]]=$AA$15,Table135[[#This Row],[שולחן]]=$AA$23),E257+ORM,E257)</f>
        <v>0.67361111111111105</v>
      </c>
      <c r="F258" s="96" t="str">
        <f>_xlfn.XLOOKUP($Q84-(ROUNDUP(A258/2,0)-1)*16,Table7[מסד],Table7[שם מלא])</f>
        <v>4 אדום</v>
      </c>
      <c r="G258" s="154">
        <f>IFERROR(_xlfn.XLOOKUP(Table135[[#This Row],[מס"ד]],TeamList[מס"ד],TeamList[מס'' הקבוצה]),"")</f>
        <v>3128</v>
      </c>
      <c r="H258" s="154">
        <f>IFERROR(_xlfn.XLOOKUP(Table135[[#This Row],[מס"ד]],TeamList2[מס"ד],TeamList2[מס'' הקבוצה]),"")</f>
        <v>1714</v>
      </c>
    </row>
    <row r="259" spans="1:8" x14ac:dyDescent="0.65">
      <c r="A259" s="96">
        <v>3</v>
      </c>
      <c r="B259" s="154">
        <v>4</v>
      </c>
      <c r="C259" s="154" cm="1">
        <f t="array" ref="C259">IFERROR(INDEX(TimeTable[מס"ד],MATCH(Table135[[#This Row],[מקצה]]&amp;Table135[[#This Row],[שולחן]],TimeTable[מס'' הרצת טורניר]&amp;TimeTable[שולחן הרצת טורניר],0)),"")</f>
        <v>45</v>
      </c>
      <c r="D259" s="154">
        <f>INT((COUNTA($D$236:D258))/8)+$D$236</f>
        <v>51</v>
      </c>
      <c r="E259" s="164">
        <f>IF(OR(Table135[[#This Row],[שולחן]]=$AA$15,Table135[[#This Row],[שולחן]]=$AA$23),E258+ORM,E258)</f>
        <v>0.67361111111111105</v>
      </c>
      <c r="F259" s="96" t="str">
        <f>_xlfn.XLOOKUP($Q85-(ROUNDUP(A259/2,0)-1)*16,Table7[מסד],Table7[שם מלא])</f>
        <v>4 כחול</v>
      </c>
      <c r="G259" s="154">
        <f>IFERROR(_xlfn.XLOOKUP(Table135[[#This Row],[מס"ד]],TeamList[מס"ד],TeamList[מס'' הקבוצה]),"")</f>
        <v>3006</v>
      </c>
      <c r="H259" s="154">
        <f>IFERROR(_xlfn.XLOOKUP(Table135[[#This Row],[מס"ד]],TeamList2[מס"ד],TeamList2[מס'' הקבוצה]),"")</f>
        <v>3318</v>
      </c>
    </row>
    <row r="260" spans="1:8" x14ac:dyDescent="0.65">
      <c r="A260" s="96">
        <v>4</v>
      </c>
      <c r="B260" s="154">
        <v>4</v>
      </c>
      <c r="C260" s="154" cm="1">
        <f t="array" ref="C260">IFERROR(INDEX(TimeTable[מס"ד],MATCH(Table135[[#This Row],[מקצה]]&amp;Table135[[#This Row],[שולחן]],TimeTable[מס'' הרצת טורניר]&amp;TimeTable[שולחן הרצת טורניר],0)),"")</f>
        <v>4</v>
      </c>
      <c r="D260" s="154">
        <f>INT((COUNTA($D$236:D259))/8)+$D$236</f>
        <v>52</v>
      </c>
      <c r="E260" s="164">
        <f>IF(OR(Table135[[#This Row],[שולחן]]=$AA$15,Table135[[#This Row],[שולחן]]=$AA$23),E259+ORM,E259)</f>
        <v>0.67708333333333326</v>
      </c>
      <c r="F260" s="96" t="str">
        <f>_xlfn.XLOOKUP($Q86-(ROUNDUP(A260/2,0)-1)*16,Table7[מסד],Table7[שם מלא])</f>
        <v>5 אדום</v>
      </c>
      <c r="G260" s="154">
        <f>IFERROR(_xlfn.XLOOKUP(Table135[[#This Row],[מס"ד]],TeamList[מס"ד],TeamList[מס'' הקבוצה]),"")</f>
        <v>1825</v>
      </c>
      <c r="H260" s="154">
        <f>IFERROR(_xlfn.XLOOKUP(Table135[[#This Row],[מס"ד]],TeamList2[מס"ד],TeamList2[מס'' הקבוצה]),"")</f>
        <v>1520</v>
      </c>
    </row>
    <row r="261" spans="1:8" x14ac:dyDescent="0.65">
      <c r="A261" s="96">
        <v>4</v>
      </c>
      <c r="B261" s="154">
        <v>4</v>
      </c>
      <c r="C261" s="154" cm="1">
        <f t="array" ref="C261">IFERROR(INDEX(TimeTable[מס"ד],MATCH(Table135[[#This Row],[מקצה]]&amp;Table135[[#This Row],[שולחן]],TimeTable[מס'' הרצת טורניר]&amp;TimeTable[שולחן הרצת טורניר],0)),"")</f>
        <v>10</v>
      </c>
      <c r="D261" s="154">
        <f>INT((COUNTA($D$236:D260))/8)+$D$236</f>
        <v>52</v>
      </c>
      <c r="E261" s="164">
        <f>IF(OR(Table135[[#This Row],[שולחן]]=$AA$15,Table135[[#This Row],[שולחן]]=$AA$23),E260+ORM,E260)</f>
        <v>0.67708333333333326</v>
      </c>
      <c r="F261" s="96" t="str">
        <f>_xlfn.XLOOKUP($Q87-(ROUNDUP(A261/2,0)-1)*16,Table7[מסד],Table7[שם מלא])</f>
        <v>5 כחול</v>
      </c>
      <c r="G261" s="154">
        <f>IFERROR(_xlfn.XLOOKUP(Table135[[#This Row],[מס"ד]],TeamList[מס"ד],TeamList[מס'' הקבוצה]),"")</f>
        <v>1371</v>
      </c>
      <c r="H261" s="154">
        <f>IFERROR(_xlfn.XLOOKUP(Table135[[#This Row],[מס"ד]],TeamList2[מס"ד],TeamList2[מס'' הקבוצה]),"")</f>
        <v>3003</v>
      </c>
    </row>
    <row r="262" spans="1:8" x14ac:dyDescent="0.65">
      <c r="A262" s="96">
        <v>4</v>
      </c>
      <c r="B262" s="154">
        <v>4</v>
      </c>
      <c r="C262" s="154" cm="1">
        <f t="array" ref="C262">IFERROR(INDEX(TimeTable[מס"ד],MATCH(Table135[[#This Row],[מקצה]]&amp;Table135[[#This Row],[שולחן]],TimeTable[מס'' הרצת טורניר]&amp;TimeTable[שולחן הרצת טורניר],0)),"")</f>
        <v>16</v>
      </c>
      <c r="D262" s="154">
        <f>INT((COUNTA($D$236:D261))/8)+$D$236</f>
        <v>52</v>
      </c>
      <c r="E262" s="164">
        <f>IF(OR(Table135[[#This Row],[שולחן]]=$AA$15,Table135[[#This Row],[שולחן]]=$AA$23),E261+ORM,E261)</f>
        <v>0.67708333333333326</v>
      </c>
      <c r="F262" s="96" t="str">
        <f>_xlfn.XLOOKUP($Q88-(ROUNDUP(A262/2,0)-1)*16,Table7[מסד],Table7[שם מלא])</f>
        <v>6 אדום</v>
      </c>
      <c r="G262" s="154">
        <f>IFERROR(_xlfn.XLOOKUP(Table135[[#This Row],[מס"ד]],TeamList[מס"ד],TeamList[מס'' הקבוצה]),"")</f>
        <v>2977</v>
      </c>
      <c r="H262" s="154">
        <f>IFERROR(_xlfn.XLOOKUP(Table135[[#This Row],[מס"ד]],TeamList2[מס"ד],TeamList2[מס'' הקבוצה]),"")</f>
        <v>3253</v>
      </c>
    </row>
    <row r="263" spans="1:8" x14ac:dyDescent="0.65">
      <c r="A263" s="96">
        <v>4</v>
      </c>
      <c r="B263" s="154">
        <v>4</v>
      </c>
      <c r="C263" s="154" cm="1">
        <f t="array" ref="C263">IFERROR(INDEX(TimeTable[מס"ד],MATCH(Table135[[#This Row],[מקצה]]&amp;Table135[[#This Row],[שולחן]],TimeTable[מס'' הרצת טורניר]&amp;TimeTable[שולחן הרצת טורניר],0)),"")</f>
        <v>22</v>
      </c>
      <c r="D263" s="154">
        <f>INT((COUNTA($D$236:D262))/8)+$D$236</f>
        <v>52</v>
      </c>
      <c r="E263" s="164">
        <f>IF(OR(Table135[[#This Row],[שולחן]]=$AA$15,Table135[[#This Row],[שולחן]]=$AA$23),E262+ORM,E262)</f>
        <v>0.67708333333333326</v>
      </c>
      <c r="F263" s="96" t="str">
        <f>_xlfn.XLOOKUP($Q89-(ROUNDUP(A263/2,0)-1)*16,Table7[מסד],Table7[שם מלא])</f>
        <v>6 כחול</v>
      </c>
      <c r="G263" s="154">
        <f>IFERROR(_xlfn.XLOOKUP(Table135[[#This Row],[מס"ד]],TeamList[מס"ד],TeamList[מס'' הקבוצה]),"")</f>
        <v>3022</v>
      </c>
      <c r="H263" s="154">
        <f>IFERROR(_xlfn.XLOOKUP(Table135[[#This Row],[מס"ד]],TeamList2[מס"ד],TeamList2[מס'' הקבוצה]),"")</f>
        <v>693</v>
      </c>
    </row>
    <row r="264" spans="1:8" x14ac:dyDescent="0.65">
      <c r="A264" s="96">
        <v>4</v>
      </c>
      <c r="B264" s="154">
        <v>4</v>
      </c>
      <c r="C264" s="154" cm="1">
        <f t="array" ref="C264">IFERROR(INDEX(TimeTable[מס"ד],MATCH(Table135[[#This Row],[מקצה]]&amp;Table135[[#This Row],[שולחן]],TimeTable[מס'' הרצת טורניר]&amp;TimeTable[שולחן הרצת טורניר],0)),"")</f>
        <v>28</v>
      </c>
      <c r="D264" s="154">
        <f>INT((COUNTA($D$236:D263))/8)+$D$236</f>
        <v>52</v>
      </c>
      <c r="E264" s="164">
        <f>IF(OR(Table135[[#This Row],[שולחן]]=$AA$15,Table135[[#This Row],[שולחן]]=$AA$23),E263+ORM,E263)</f>
        <v>0.67708333333333326</v>
      </c>
      <c r="F264" s="96" t="str">
        <f>_xlfn.XLOOKUP($Q90-(ROUNDUP(A264/2,0)-1)*16,Table7[מסד],Table7[שם מלא])</f>
        <v>7 אדום</v>
      </c>
      <c r="G264" s="154">
        <f>IFERROR(_xlfn.XLOOKUP(Table135[[#This Row],[מס"ד]],TeamList[מס"ד],TeamList[מס'' הקבוצה]),"")</f>
        <v>1697</v>
      </c>
      <c r="H264" s="154">
        <f>IFERROR(_xlfn.XLOOKUP(Table135[[#This Row],[מס"ד]],TeamList2[מס"ד],TeamList2[מס'' הקבוצה]),"")</f>
        <v>1521</v>
      </c>
    </row>
    <row r="265" spans="1:8" x14ac:dyDescent="0.65">
      <c r="A265" s="96">
        <v>4</v>
      </c>
      <c r="B265" s="154">
        <v>4</v>
      </c>
      <c r="C265" s="154" cm="1">
        <f t="array" ref="C265">IFERROR(INDEX(TimeTable[מס"ד],MATCH(Table135[[#This Row],[מקצה]]&amp;Table135[[#This Row],[שולחן]],TimeTable[מס'' הרצת טורניר]&amp;TimeTable[שולחן הרצת טורניר],0)),"")</f>
        <v>34</v>
      </c>
      <c r="D265" s="154">
        <f>INT((COUNTA($D$236:D264))/8)+$D$236</f>
        <v>52</v>
      </c>
      <c r="E265" s="164">
        <f>IF(OR(Table135[[#This Row],[שולחן]]=$AA$15,Table135[[#This Row],[שולחן]]=$AA$23),E264+ORM,E264)</f>
        <v>0.67708333333333326</v>
      </c>
      <c r="F265" s="96" t="str">
        <f>_xlfn.XLOOKUP($Q91-(ROUNDUP(A265/2,0)-1)*16,Table7[מסד],Table7[שם מלא])</f>
        <v>7 כחול</v>
      </c>
      <c r="G265" s="154">
        <f>IFERROR(_xlfn.XLOOKUP(Table135[[#This Row],[מס"ד]],TeamList[מס"ד],TeamList[מס'' הקבוצה]),"")</f>
        <v>2622</v>
      </c>
      <c r="H265" s="154">
        <f>IFERROR(_xlfn.XLOOKUP(Table135[[#This Row],[מס"ד]],TeamList2[מס"ד],TeamList2[מס'' הקבוצה]),"")</f>
        <v>771</v>
      </c>
    </row>
    <row r="266" spans="1:8" x14ac:dyDescent="0.65">
      <c r="A266" s="96">
        <v>4</v>
      </c>
      <c r="B266" s="154">
        <v>4</v>
      </c>
      <c r="C266" s="154" cm="1">
        <f t="array" ref="C266">IFERROR(INDEX(TimeTable[מס"ד],MATCH(Table135[[#This Row],[מקצה]]&amp;Table135[[#This Row],[שולחן]],TimeTable[מס'' הרצת טורניר]&amp;TimeTable[שולחן הרצת טורניר],0)),"")</f>
        <v>40</v>
      </c>
      <c r="D266" s="154">
        <f>INT((COUNTA($D$236:D265))/8)+$D$236</f>
        <v>52</v>
      </c>
      <c r="E266" s="164">
        <f>IF(OR(Table135[[#This Row],[שולחן]]=$AA$15,Table135[[#This Row],[שולחן]]=$AA$23),E265+ORM,E265)</f>
        <v>0.67708333333333326</v>
      </c>
      <c r="F266" s="96" t="str">
        <f>_xlfn.XLOOKUP($Q92-(ROUNDUP(A266/2,0)-1)*16,Table7[מסד],Table7[שם מלא])</f>
        <v>8 אדום</v>
      </c>
      <c r="G266" s="154">
        <f>IFERROR(_xlfn.XLOOKUP(Table135[[#This Row],[מס"ד]],TeamList[מס"ד],TeamList[מס'' הקבוצה]),"")</f>
        <v>1099</v>
      </c>
      <c r="H266" s="154">
        <f>IFERROR(_xlfn.XLOOKUP(Table135[[#This Row],[מס"ד]],TeamList2[מס"ד],TeamList2[מס'' הקבוצה]),"")</f>
        <v>3101</v>
      </c>
    </row>
    <row r="267" spans="1:8" x14ac:dyDescent="0.65">
      <c r="A267" s="96">
        <v>4</v>
      </c>
      <c r="B267" s="154">
        <v>4</v>
      </c>
      <c r="C267" s="154" cm="1">
        <f t="array" ref="C267">IFERROR(INDEX(TimeTable[מס"ד],MATCH(Table135[[#This Row],[מקצה]]&amp;Table135[[#This Row],[שולחן]],TimeTable[מס'' הרצת טורניר]&amp;TimeTable[שולחן הרצת טורניר],0)),"")</f>
        <v>46</v>
      </c>
      <c r="D267" s="154">
        <f>INT((COUNTA($D$236:D266))/8)+$D$236</f>
        <v>52</v>
      </c>
      <c r="E267" s="164">
        <f>IF(OR(Table135[[#This Row],[שולחן]]=$AA$15,Table135[[#This Row],[שולחן]]=$AA$23),E266+ORM,E266)</f>
        <v>0.67708333333333326</v>
      </c>
      <c r="F267" s="96" t="str">
        <f>_xlfn.XLOOKUP($Q93-(ROUNDUP(A267/2,0)-1)*16,Table7[מסד],Table7[שם מלא])</f>
        <v>8 כחול</v>
      </c>
      <c r="G267" s="154">
        <f>IFERROR(_xlfn.XLOOKUP(Table135[[#This Row],[מס"ד]],TeamList[מס"ד],TeamList[מס'' הקבוצה]),"")</f>
        <v>2130</v>
      </c>
      <c r="H267" s="154">
        <f>IFERROR(_xlfn.XLOOKUP(Table135[[#This Row],[מס"ד]],TeamList2[מס"ד],TeamList2[מס'' הקבוצה]),"")</f>
        <v>697</v>
      </c>
    </row>
    <row r="268" spans="1:8" x14ac:dyDescent="0.65">
      <c r="A268" s="96">
        <v>5</v>
      </c>
      <c r="B268" s="154">
        <v>4</v>
      </c>
      <c r="C268" s="154" cm="1">
        <f t="array" ref="C268">IFERROR(INDEX(TimeTable[מס"ד],MATCH(Table135[[#This Row],[מקצה]]&amp;Table135[[#This Row],[שולחן]],TimeTable[מס'' הרצת טורניר]&amp;TimeTable[שולחן הרצת טורניר],0)),"")</f>
        <v>5</v>
      </c>
      <c r="D268" s="154">
        <f>INT((COUNTA($D$236:D267))/8)+$D$236</f>
        <v>53</v>
      </c>
      <c r="E268" s="164">
        <f>IF(OR(Table135[[#This Row],[שולחן]]=$AA$15,Table135[[#This Row],[שולחן]]=$AA$23),E267+ORM,E267)</f>
        <v>0.68055555555555547</v>
      </c>
      <c r="F268" s="96" t="str">
        <f>_xlfn.XLOOKUP($Q94-(ROUNDUP(A268/2,0)-1)*16,Table7[מסד],Table7[שם מלא])</f>
        <v>1 אדום</v>
      </c>
      <c r="G268" s="154">
        <f>IFERROR(_xlfn.XLOOKUP(Table135[[#This Row],[מס"ד]],TeamList[מס"ד],TeamList[מס'' הקבוצה]),"")</f>
        <v>3243</v>
      </c>
      <c r="H268" s="154">
        <f>IFERROR(_xlfn.XLOOKUP(Table135[[#This Row],[מס"ד]],TeamList2[מס"ד],TeamList2[מס'' הקבוצה]),"")</f>
        <v>137</v>
      </c>
    </row>
    <row r="269" spans="1:8" x14ac:dyDescent="0.65">
      <c r="A269" s="96">
        <v>5</v>
      </c>
      <c r="B269" s="154">
        <v>4</v>
      </c>
      <c r="C269" s="154" cm="1">
        <f t="array" ref="C269">IFERROR(INDEX(TimeTable[מס"ד],MATCH(Table135[[#This Row],[מקצה]]&amp;Table135[[#This Row],[שולחן]],TimeTable[מס'' הרצת טורניר]&amp;TimeTable[שולחן הרצת טורניר],0)),"")</f>
        <v>11</v>
      </c>
      <c r="D269" s="154">
        <f>INT((COUNTA($D$236:D268))/8)+$D$236</f>
        <v>53</v>
      </c>
      <c r="E269" s="164">
        <f>IF(OR(Table135[[#This Row],[שולחן]]=$AA$15,Table135[[#This Row],[שולחן]]=$AA$23),E268+ORM,E268)</f>
        <v>0.68055555555555547</v>
      </c>
      <c r="F269" s="96" t="str">
        <f>_xlfn.XLOOKUP($Q95-(ROUNDUP(A269/2,0)-1)*16,Table7[מסד],Table7[שם מלא])</f>
        <v>1 כחול</v>
      </c>
      <c r="G269" s="154">
        <f>IFERROR(_xlfn.XLOOKUP(Table135[[#This Row],[מס"ד]],TeamList[מס"ד],TeamList[מס'' הקבוצה]),"")</f>
        <v>3139</v>
      </c>
      <c r="H269" s="154">
        <f>IFERROR(_xlfn.XLOOKUP(Table135[[#This Row],[מס"ד]],TeamList2[מס"ד],TeamList2[מס'' הקבוצה]),"")</f>
        <v>1350</v>
      </c>
    </row>
    <row r="270" spans="1:8" x14ac:dyDescent="0.65">
      <c r="A270" s="96">
        <v>5</v>
      </c>
      <c r="B270" s="154">
        <v>4</v>
      </c>
      <c r="C270" s="154" cm="1">
        <f t="array" ref="C270">IFERROR(INDEX(TimeTable[מס"ד],MATCH(Table135[[#This Row],[מקצה]]&amp;Table135[[#This Row],[שולחן]],TimeTable[מס'' הרצת טורניר]&amp;TimeTable[שולחן הרצת טורניר],0)),"")</f>
        <v>17</v>
      </c>
      <c r="D270" s="154">
        <f>INT((COUNTA($D$236:D269))/8)+$D$236</f>
        <v>53</v>
      </c>
      <c r="E270" s="164">
        <f>IF(OR(Table135[[#This Row],[שולחן]]=$AA$15,Table135[[#This Row],[שולחן]]=$AA$23),E269+ORM,E269)</f>
        <v>0.68055555555555547</v>
      </c>
      <c r="F270" s="96" t="str">
        <f>_xlfn.XLOOKUP($Q96-(ROUNDUP(A270/2,0)-1)*16,Table7[מסד],Table7[שם מלא])</f>
        <v>2 אדום</v>
      </c>
      <c r="G270" s="154">
        <f>IFERROR(_xlfn.XLOOKUP(Table135[[#This Row],[מס"ד]],TeamList[מס"ד],TeamList[מס'' הקבוצה]),"")</f>
        <v>1083</v>
      </c>
      <c r="H270" s="154">
        <f>IFERROR(_xlfn.XLOOKUP(Table135[[#This Row],[מס"ד]],TeamList2[מס"ד],TeamList2[מס'' הקבוצה]),"")</f>
        <v>3013</v>
      </c>
    </row>
    <row r="271" spans="1:8" x14ac:dyDescent="0.65">
      <c r="A271" s="96">
        <v>5</v>
      </c>
      <c r="B271" s="154">
        <v>4</v>
      </c>
      <c r="C271" s="154" cm="1">
        <f t="array" ref="C271">IFERROR(INDEX(TimeTable[מס"ד],MATCH(Table135[[#This Row],[מקצה]]&amp;Table135[[#This Row],[שולחן]],TimeTable[מס'' הרצת טורניר]&amp;TimeTable[שולחן הרצת טורניר],0)),"")</f>
        <v>23</v>
      </c>
      <c r="D271" s="154">
        <f>INT((COUNTA($D$236:D270))/8)+$D$236</f>
        <v>53</v>
      </c>
      <c r="E271" s="164">
        <f>IF(OR(Table135[[#This Row],[שולחן]]=$AA$15,Table135[[#This Row],[שולחן]]=$AA$23),E270+ORM,E270)</f>
        <v>0.68055555555555547</v>
      </c>
      <c r="F271" s="96" t="str">
        <f>_xlfn.XLOOKUP($Q97-(ROUNDUP(A271/2,0)-1)*16,Table7[מסד],Table7[שם מלא])</f>
        <v>2 כחול</v>
      </c>
      <c r="G271" s="154">
        <f>IFERROR(_xlfn.XLOOKUP(Table135[[#This Row],[מס"ד]],TeamList[מס"ד],TeamList[מס'' הקבוצה]),"")</f>
        <v>1152</v>
      </c>
      <c r="H271" s="154">
        <f>IFERROR(_xlfn.XLOOKUP(Table135[[#This Row],[מס"ד]],TeamList2[מס"ד],TeamList2[מס'' הקבוצה]),"")</f>
        <v>3323</v>
      </c>
    </row>
    <row r="272" spans="1:8" x14ac:dyDescent="0.65">
      <c r="A272" s="96">
        <v>5</v>
      </c>
      <c r="B272" s="154">
        <v>4</v>
      </c>
      <c r="C272" s="154" cm="1">
        <f t="array" ref="C272">IFERROR(INDEX(TimeTable[מס"ד],MATCH(Table135[[#This Row],[מקצה]]&amp;Table135[[#This Row],[שולחן]],TimeTable[מס'' הרצת טורניר]&amp;TimeTable[שולחן הרצת טורניר],0)),"")</f>
        <v>29</v>
      </c>
      <c r="D272" s="154">
        <f>INT((COUNTA($D$236:D271))/8)+$D$236</f>
        <v>53</v>
      </c>
      <c r="E272" s="164">
        <f>IF(OR(Table135[[#This Row],[שולחן]]=$AA$15,Table135[[#This Row],[שולחן]]=$AA$23),E271+ORM,E271)</f>
        <v>0.68055555555555547</v>
      </c>
      <c r="F272" s="96" t="str">
        <f>_xlfn.XLOOKUP($Q98-(ROUNDUP(A272/2,0)-1)*16,Table7[מסד],Table7[שם מלא])</f>
        <v>3 אדום</v>
      </c>
      <c r="G272" s="154">
        <f>IFERROR(_xlfn.XLOOKUP(Table135[[#This Row],[מס"ד]],TeamList[מס"ד],TeamList[מס'' הקבוצה]),"")</f>
        <v>1333</v>
      </c>
      <c r="H272" s="154">
        <f>IFERROR(_xlfn.XLOOKUP(Table135[[#This Row],[מס"ד]],TeamList2[מס"ד],TeamList2[מס'' הקבוצה]),"")</f>
        <v>660</v>
      </c>
    </row>
    <row r="273" spans="1:8" x14ac:dyDescent="0.65">
      <c r="A273" s="96">
        <v>5</v>
      </c>
      <c r="B273" s="154">
        <v>4</v>
      </c>
      <c r="C273" s="154" cm="1">
        <f t="array" ref="C273">IFERROR(INDEX(TimeTable[מס"ד],MATCH(Table135[[#This Row],[מקצה]]&amp;Table135[[#This Row],[שולחן]],TimeTable[מס'' הרצת טורניר]&amp;TimeTable[שולחן הרצת טורניר],0)),"")</f>
        <v>35</v>
      </c>
      <c r="D273" s="154">
        <f>INT((COUNTA($D$236:D272))/8)+$D$236</f>
        <v>53</v>
      </c>
      <c r="E273" s="164">
        <f>IF(OR(Table135[[#This Row],[שולחן]]=$AA$15,Table135[[#This Row],[שולחן]]=$AA$23),E272+ORM,E272)</f>
        <v>0.68055555555555547</v>
      </c>
      <c r="F273" s="96" t="str">
        <f>_xlfn.XLOOKUP($Q99-(ROUNDUP(A273/2,0)-1)*16,Table7[מסד],Table7[שם מלא])</f>
        <v>3 כחול</v>
      </c>
      <c r="G273" s="154">
        <f>IFERROR(_xlfn.XLOOKUP(Table135[[#This Row],[מס"ד]],TeamList[מס"ד],TeamList[מס'' הקבוצה]),"")</f>
        <v>1616</v>
      </c>
      <c r="H273" s="154">
        <f>IFERROR(_xlfn.XLOOKUP(Table135[[#This Row],[מס"ד]],TeamList2[מס"ד],TeamList2[מס'' הקבוצה]),"")</f>
        <v>910</v>
      </c>
    </row>
    <row r="274" spans="1:8" x14ac:dyDescent="0.65">
      <c r="A274" s="96">
        <v>5</v>
      </c>
      <c r="B274" s="154">
        <v>4</v>
      </c>
      <c r="C274" s="154" cm="1">
        <f t="array" ref="C274">IFERROR(INDEX(TimeTable[מס"ד],MATCH(Table135[[#This Row],[מקצה]]&amp;Table135[[#This Row],[שולחן]],TimeTable[מס'' הרצת טורניר]&amp;TimeTable[שולחן הרצת טורניר],0)),"")</f>
        <v>41</v>
      </c>
      <c r="D274" s="154">
        <f>INT((COUNTA($D$236:D273))/8)+$D$236</f>
        <v>53</v>
      </c>
      <c r="E274" s="164">
        <f>IF(OR(Table135[[#This Row],[שולחן]]=$AA$15,Table135[[#This Row],[שולחן]]=$AA$23),E273+ORM,E273)</f>
        <v>0.68055555555555547</v>
      </c>
      <c r="F274" s="96" t="str">
        <f>_xlfn.XLOOKUP($Q100-(ROUNDUP(A274/2,0)-1)*16,Table7[מסד],Table7[שם מלא])</f>
        <v>4 אדום</v>
      </c>
      <c r="G274" s="154">
        <f>IFERROR(_xlfn.XLOOKUP(Table135[[#This Row],[מס"ד]],TeamList[מס"ד],TeamList[מס'' הקבוצה]),"")</f>
        <v>3294</v>
      </c>
      <c r="H274" s="154">
        <f>IFERROR(_xlfn.XLOOKUP(Table135[[#This Row],[מס"ד]],TeamList2[מס"ד],TeamList2[מס'' הקבוצה]),"")</f>
        <v>3252</v>
      </c>
    </row>
    <row r="275" spans="1:8" x14ac:dyDescent="0.65">
      <c r="A275" s="96">
        <v>5</v>
      </c>
      <c r="B275" s="154">
        <v>4</v>
      </c>
      <c r="C275" s="154" cm="1">
        <f t="array" ref="C275">IFERROR(INDEX(TimeTable[מס"ד],MATCH(Table135[[#This Row],[מקצה]]&amp;Table135[[#This Row],[שולחן]],TimeTable[מס'' הרצת טורניר]&amp;TimeTable[שולחן הרצת טורניר],0)),"")</f>
        <v>47</v>
      </c>
      <c r="D275" s="154">
        <f>INT((COUNTA($D$236:D274))/8)+$D$236</f>
        <v>53</v>
      </c>
      <c r="E275" s="164">
        <f>IF(OR(Table135[[#This Row],[שולחן]]=$AA$15,Table135[[#This Row],[שולחן]]=$AA$23),E274+ORM,E274)</f>
        <v>0.68055555555555547</v>
      </c>
      <c r="F275" s="96" t="str">
        <f>_xlfn.XLOOKUP($Q101-(ROUNDUP(A275/2,0)-1)*16,Table7[מסד],Table7[שם מלא])</f>
        <v>4 כחול</v>
      </c>
      <c r="G275" s="154">
        <f>IFERROR(_xlfn.XLOOKUP(Table135[[#This Row],[מס"ד]],TeamList[מס"ד],TeamList[מס'' הקבוצה]),"")</f>
        <v>2843</v>
      </c>
      <c r="H275" s="154">
        <f>IFERROR(_xlfn.XLOOKUP(Table135[[#This Row],[מס"ד]],TeamList2[מס"ד],TeamList2[מס'' הקבוצה]),"")</f>
        <v>2875</v>
      </c>
    </row>
    <row r="276" spans="1:8" x14ac:dyDescent="0.65">
      <c r="A276" s="96">
        <v>6</v>
      </c>
      <c r="B276" s="154">
        <v>4</v>
      </c>
      <c r="C276" s="154" cm="1">
        <f t="array" ref="C276">IFERROR(INDEX(TimeTable[מס"ד],MATCH(Table135[[#This Row],[מקצה]]&amp;Table135[[#This Row],[שולחן]],TimeTable[מס'' הרצת טורניר]&amp;TimeTable[שולחן הרצת טורניר],0)),"")</f>
        <v>6</v>
      </c>
      <c r="D276" s="154">
        <f>INT((COUNTA($D$236:D275))/8)+$D$236</f>
        <v>54</v>
      </c>
      <c r="E276" s="164">
        <f>IF(OR(Table135[[#This Row],[שולחן]]=$AA$15,Table135[[#This Row],[שולחן]]=$AA$23),E275+ORM,E275)</f>
        <v>0.68402777777777768</v>
      </c>
      <c r="F276" s="96" t="str">
        <f>_xlfn.XLOOKUP($Q102-(ROUNDUP(A276/2,0)-1)*16,Table7[מסד],Table7[שם מלא])</f>
        <v>5 אדום</v>
      </c>
      <c r="G276" s="154">
        <f>IFERROR(_xlfn.XLOOKUP(Table135[[#This Row],[מס"ד]],TeamList[מס"ד],TeamList[מס'' הקבוצה]),"")</f>
        <v>2954</v>
      </c>
      <c r="H276" s="154">
        <f>IFERROR(_xlfn.XLOOKUP(Table135[[#This Row],[מס"ד]],TeamList2[מס"ד],TeamList2[מס'' הקבוצה]),"")</f>
        <v>72</v>
      </c>
    </row>
    <row r="277" spans="1:8" x14ac:dyDescent="0.65">
      <c r="A277" s="96">
        <v>6</v>
      </c>
      <c r="B277" s="154">
        <v>4</v>
      </c>
      <c r="C277" s="154" cm="1">
        <f t="array" ref="C277">IFERROR(INDEX(TimeTable[מס"ד],MATCH(Table135[[#This Row],[מקצה]]&amp;Table135[[#This Row],[שולחן]],TimeTable[מס'' הרצת טורניר]&amp;TimeTable[שולחן הרצת טורניר],0)),"")</f>
        <v>12</v>
      </c>
      <c r="D277" s="154">
        <f>INT((COUNTA($D$236:D276))/8)+$D$236</f>
        <v>54</v>
      </c>
      <c r="E277" s="164">
        <f>IF(OR(Table135[[#This Row],[שולחן]]=$AA$15,Table135[[#This Row],[שולחן]]=$AA$23),E276+ORM,E276)</f>
        <v>0.68402777777777768</v>
      </c>
      <c r="F277" s="96" t="str">
        <f>_xlfn.XLOOKUP($Q103-(ROUNDUP(A277/2,0)-1)*16,Table7[מסד],Table7[שם מלא])</f>
        <v>5 כחול</v>
      </c>
      <c r="G277" s="154">
        <f>IFERROR(_xlfn.XLOOKUP(Table135[[#This Row],[מס"ד]],TeamList[מס"ד],TeamList[מס'' הקבוצה]),"")</f>
        <v>515</v>
      </c>
      <c r="H277" s="154">
        <f>IFERROR(_xlfn.XLOOKUP(Table135[[#This Row],[מס"ד]],TeamList2[מס"ד],TeamList2[מס'' הקבוצה]),"")</f>
        <v>2238</v>
      </c>
    </row>
    <row r="278" spans="1:8" x14ac:dyDescent="0.65">
      <c r="A278" s="96">
        <v>6</v>
      </c>
      <c r="B278" s="154">
        <v>4</v>
      </c>
      <c r="C278" s="154" cm="1">
        <f t="array" ref="C278">IFERROR(INDEX(TimeTable[מס"ד],MATCH(Table135[[#This Row],[מקצה]]&amp;Table135[[#This Row],[שולחן]],TimeTable[מס'' הרצת טורניר]&amp;TimeTable[שולחן הרצת טורניר],0)),"")</f>
        <v>18</v>
      </c>
      <c r="D278" s="154">
        <f>INT((COUNTA($D$236:D277))/8)+$D$236</f>
        <v>54</v>
      </c>
      <c r="E278" s="164">
        <f>IF(OR(Table135[[#This Row],[שולחן]]=$AA$15,Table135[[#This Row],[שולחן]]=$AA$23),E277+ORM,E277)</f>
        <v>0.68402777777777768</v>
      </c>
      <c r="F278" s="96" t="str">
        <f>_xlfn.XLOOKUP($Q104-(ROUNDUP(A278/2,0)-1)*16,Table7[מסד],Table7[שם מלא])</f>
        <v>6 אדום</v>
      </c>
      <c r="G278" s="154">
        <f>IFERROR(_xlfn.XLOOKUP(Table135[[#This Row],[מס"ד]],TeamList[מס"ד],TeamList[מס'' הקבוצה]),"")</f>
        <v>1043</v>
      </c>
      <c r="H278" s="154">
        <f>IFERROR(_xlfn.XLOOKUP(Table135[[#This Row],[מס"ד]],TeamList2[מס"ד],TeamList2[מס'' הקבוצה]),"")</f>
        <v>957</v>
      </c>
    </row>
    <row r="279" spans="1:8" x14ac:dyDescent="0.65">
      <c r="A279" s="96">
        <v>6</v>
      </c>
      <c r="B279" s="154">
        <v>4</v>
      </c>
      <c r="C279" s="154" cm="1">
        <f t="array" ref="C279">IFERROR(INDEX(TimeTable[מס"ד],MATCH(Table135[[#This Row],[מקצה]]&amp;Table135[[#This Row],[שולחן]],TimeTable[מס'' הרצת טורניר]&amp;TimeTable[שולחן הרצת טורניר],0)),"")</f>
        <v>24</v>
      </c>
      <c r="D279" s="154">
        <f>INT((COUNTA($D$236:D278))/8)+$D$236</f>
        <v>54</v>
      </c>
      <c r="E279" s="164">
        <f>IF(OR(Table135[[#This Row],[שולחן]]=$AA$15,Table135[[#This Row],[שולחן]]=$AA$23),E278+ORM,E278)</f>
        <v>0.68402777777777768</v>
      </c>
      <c r="F279" s="96" t="str">
        <f>_xlfn.XLOOKUP($Q105-(ROUNDUP(A279/2,0)-1)*16,Table7[מסד],Table7[שם מלא])</f>
        <v>6 כחול</v>
      </c>
      <c r="G279" s="154">
        <f>IFERROR(_xlfn.XLOOKUP(Table135[[#This Row],[מס"ד]],TeamList[מס"ד],TeamList[מס'' הקבוצה]),"")</f>
        <v>1864</v>
      </c>
      <c r="H279" s="154">
        <f>IFERROR(_xlfn.XLOOKUP(Table135[[#This Row],[מס"ד]],TeamList2[מס"ד],TeamList2[מס'' הקבוצה]),"")</f>
        <v>3192</v>
      </c>
    </row>
    <row r="280" spans="1:8" x14ac:dyDescent="0.65">
      <c r="A280" s="96">
        <v>6</v>
      </c>
      <c r="B280" s="154">
        <v>4</v>
      </c>
      <c r="C280" s="154" cm="1">
        <f t="array" ref="C280">IFERROR(INDEX(TimeTable[מס"ד],MATCH(Table135[[#This Row],[מקצה]]&amp;Table135[[#This Row],[שולחן]],TimeTable[מס'' הרצת טורניר]&amp;TimeTable[שולחן הרצת טורניר],0)),"")</f>
        <v>30</v>
      </c>
      <c r="D280" s="154">
        <f>INT((COUNTA($D$236:D279))/8)+$D$236</f>
        <v>54</v>
      </c>
      <c r="E280" s="164">
        <f>IF(OR(Table135[[#This Row],[שולחן]]=$AA$15,Table135[[#This Row],[שולחן]]=$AA$23),E279+ORM,E279)</f>
        <v>0.68402777777777768</v>
      </c>
      <c r="F280" s="96" t="str">
        <f>_xlfn.XLOOKUP($Q106-(ROUNDUP(A280/2,0)-1)*16,Table7[מסד],Table7[שם מלא])</f>
        <v>7 אדום</v>
      </c>
      <c r="G280" s="154">
        <f>IFERROR(_xlfn.XLOOKUP(Table135[[#This Row],[מס"ד]],TeamList[מס"ד],TeamList[מס'' הקבוצה]),"")</f>
        <v>662</v>
      </c>
      <c r="H280" s="154">
        <f>IFERROR(_xlfn.XLOOKUP(Table135[[#This Row],[מס"ד]],TeamList2[מס"ד],TeamList2[מס'' הקבוצה]),"")</f>
        <v>3002</v>
      </c>
    </row>
    <row r="281" spans="1:8" x14ac:dyDescent="0.65">
      <c r="A281" s="96">
        <v>6</v>
      </c>
      <c r="B281" s="154">
        <v>4</v>
      </c>
      <c r="C281" s="154" cm="1">
        <f t="array" ref="C281">IFERROR(INDEX(TimeTable[מס"ד],MATCH(Table135[[#This Row],[מקצה]]&amp;Table135[[#This Row],[שולחן]],TimeTable[מס'' הרצת טורניר]&amp;TimeTable[שולחן הרצת טורניר],0)),"")</f>
        <v>36</v>
      </c>
      <c r="D281" s="154">
        <f>INT((COUNTA($D$236:D280))/8)+$D$236</f>
        <v>54</v>
      </c>
      <c r="E281" s="164">
        <f>IF(OR(Table135[[#This Row],[שולחן]]=$AA$15,Table135[[#This Row],[שולחן]]=$AA$23),E280+ORM,E280)</f>
        <v>0.68402777777777768</v>
      </c>
      <c r="F281" s="96" t="str">
        <f>_xlfn.XLOOKUP($Q107-(ROUNDUP(A281/2,0)-1)*16,Table7[מסד],Table7[שם מלא])</f>
        <v>7 כחול</v>
      </c>
      <c r="G281" s="154">
        <f>IFERROR(_xlfn.XLOOKUP(Table135[[#This Row],[מס"ד]],TeamList[מס"ד],TeamList[מס'' הקבוצה]),"")</f>
        <v>1214</v>
      </c>
      <c r="H281" s="154">
        <f>IFERROR(_xlfn.XLOOKUP(Table135[[#This Row],[מס"ד]],TeamList2[מס"ד],TeamList2[מס'' הקבוצה]),"")</f>
        <v>3288</v>
      </c>
    </row>
    <row r="282" spans="1:8" x14ac:dyDescent="0.65">
      <c r="A282" s="96">
        <v>6</v>
      </c>
      <c r="B282" s="154">
        <v>4</v>
      </c>
      <c r="C282" s="154" cm="1">
        <f t="array" ref="C282">IFERROR(INDEX(TimeTable[מס"ד],MATCH(Table135[[#This Row],[מקצה]]&amp;Table135[[#This Row],[שולחן]],TimeTable[מס'' הרצת טורניר]&amp;TimeTable[שולחן הרצת טורניר],0)),"")</f>
        <v>42</v>
      </c>
      <c r="D282" s="154">
        <f>INT((COUNTA($D$236:D281))/8)+$D$236</f>
        <v>54</v>
      </c>
      <c r="E282" s="164">
        <f>IF(OR(Table135[[#This Row],[שולחן]]=$AA$15,Table135[[#This Row],[שולחן]]=$AA$23),E281+ORM,E281)</f>
        <v>0.68402777777777768</v>
      </c>
      <c r="F282" s="96" t="str">
        <f>_xlfn.XLOOKUP($Q108-(ROUNDUP(A282/2,0)-1)*16,Table7[מסד],Table7[שם מלא])</f>
        <v>8 אדום</v>
      </c>
      <c r="G282" s="154">
        <f>IFERROR(_xlfn.XLOOKUP(Table135[[#This Row],[מס"ד]],TeamList[מס"ד],TeamList[מס'' הקבוצה]),"")</f>
        <v>3184</v>
      </c>
      <c r="H282" s="154">
        <f>IFERROR(_xlfn.XLOOKUP(Table135[[#This Row],[מס"ד]],TeamList2[מס"ד],TeamList2[מס'' הקבוצה]),"")</f>
        <v>1964</v>
      </c>
    </row>
    <row r="283" spans="1:8" x14ac:dyDescent="0.65">
      <c r="A283" s="96">
        <v>6</v>
      </c>
      <c r="B283" s="154">
        <v>4</v>
      </c>
      <c r="C283" s="154" cm="1">
        <f t="array" ref="C283">IFERROR(INDEX(TimeTable[מס"ד],MATCH(Table135[[#This Row],[מקצה]]&amp;Table135[[#This Row],[שולחן]],TimeTable[מס'' הרצת טורניר]&amp;TimeTable[שולחן הרצת טורניר],0)),"")</f>
        <v>48</v>
      </c>
      <c r="D283" s="154">
        <f>INT((COUNTA($D$236:D282))/8)+$D$236</f>
        <v>54</v>
      </c>
      <c r="E283" s="164">
        <f>IF(OR(Table135[[#This Row],[שולחן]]=$AA$15,Table135[[#This Row],[שולחן]]=$AA$23),E282+ORM,E282)</f>
        <v>0.68402777777777768</v>
      </c>
      <c r="F283" s="96" t="str">
        <f>_xlfn.XLOOKUP($Q109-(ROUNDUP(A283/2,0)-1)*16,Table7[מסד],Table7[שם מלא])</f>
        <v>8 כחול</v>
      </c>
      <c r="G283" s="154">
        <f>IFERROR(_xlfn.XLOOKUP(Table135[[#This Row],[מס"ד]],TeamList[מס"ד],TeamList[מס'' הקבוצה]),"")</f>
        <v>1720</v>
      </c>
      <c r="H283" s="154" t="str">
        <f>IFERROR(_xlfn.XLOOKUP(Table135[[#This Row],[מס"ד]],TeamList2[מס"ד],TeamList2[מס'' הקבוצה]),"")</f>
        <v/>
      </c>
    </row>
    <row r="284" spans="1:8" x14ac:dyDescent="0.65">
      <c r="B284" s="154"/>
      <c r="C284" s="154"/>
      <c r="D284" s="154"/>
      <c r="E284" s="164"/>
      <c r="F284" s="96"/>
      <c r="G284" s="154"/>
      <c r="H284" s="154" t="str">
        <f>IFERROR(_xlfn.XLOOKUP(Table135[[#This Row],[מס"ד]],TeamList2[מס"ד],TeamList2[מס'' הקבוצה]),"")</f>
        <v/>
      </c>
    </row>
    <row r="285" spans="1:8" x14ac:dyDescent="0.65">
      <c r="B285" s="154"/>
      <c r="C285" s="154"/>
      <c r="D285" s="154"/>
      <c r="E285" s="164"/>
      <c r="F285" s="96"/>
      <c r="G285" s="154"/>
      <c r="H285" s="154" t="str">
        <f>IFERROR(_xlfn.XLOOKUP(Table135[[#This Row],[מס"ד]],TeamList2[מס"ד],TeamList2[מס'' הקבוצה]),"")</f>
        <v/>
      </c>
    </row>
    <row r="286" spans="1:8" x14ac:dyDescent="0.65">
      <c r="A286" s="71"/>
      <c r="B286" s="154"/>
      <c r="C286" s="154"/>
      <c r="D286" s="154"/>
      <c r="E286" s="164"/>
      <c r="F286" s="96"/>
      <c r="G286" s="154"/>
      <c r="H286" s="154" t="str">
        <f>IFERROR(_xlfn.XLOOKUP(Table135[[#This Row],[מס"ד]],TeamList2[מס"ד],TeamList2[מס'' הקבוצה]),"")</f>
        <v/>
      </c>
    </row>
    <row r="287" spans="1:8" x14ac:dyDescent="0.65">
      <c r="A287" s="71"/>
      <c r="B287" s="154"/>
      <c r="C287" s="154"/>
      <c r="D287" s="154"/>
      <c r="E287" s="164"/>
      <c r="F287" s="96"/>
      <c r="G287" s="154"/>
      <c r="H287" s="154" t="str">
        <f>IFERROR(_xlfn.XLOOKUP(Table135[[#This Row],[מס"ד]],TeamList2[מס"ד],TeamList2[מס'' הקבוצה]),"")</f>
        <v/>
      </c>
    </row>
    <row r="288" spans="1:8" x14ac:dyDescent="0.65">
      <c r="A288" s="71"/>
      <c r="B288" s="154"/>
      <c r="C288" s="154"/>
      <c r="D288" s="154"/>
      <c r="E288" s="164"/>
      <c r="F288" s="96"/>
      <c r="G288" s="154"/>
      <c r="H288" s="154" t="str">
        <f>IFERROR(_xlfn.XLOOKUP(Table135[[#This Row],[מס"ד]],TeamList2[מס"ד],TeamList2[מס'' הקבוצה]),"")</f>
        <v/>
      </c>
    </row>
    <row r="289" spans="1:8" x14ac:dyDescent="0.65">
      <c r="A289" s="71"/>
      <c r="B289" s="154"/>
      <c r="C289" s="154"/>
      <c r="D289" s="154"/>
      <c r="E289" s="164"/>
      <c r="F289" s="96"/>
      <c r="G289" s="154"/>
      <c r="H289" s="154" t="str">
        <f>IFERROR(_xlfn.XLOOKUP(Table135[[#This Row],[מס"ד]],TeamList2[מס"ד],TeamList2[מס'' הקבוצה]),"")</f>
        <v/>
      </c>
    </row>
    <row r="290" spans="1:8" x14ac:dyDescent="0.65">
      <c r="A290" s="71"/>
      <c r="B290" s="154"/>
      <c r="C290" s="154"/>
      <c r="D290" s="154"/>
      <c r="E290" s="164"/>
      <c r="F290" s="96"/>
      <c r="G290" s="154"/>
      <c r="H290" s="154" t="str">
        <f>IFERROR(_xlfn.XLOOKUP(Table135[[#This Row],[מס"ד]],TeamList2[מס"ד],TeamList2[מס'' הקבוצה]),"")</f>
        <v/>
      </c>
    </row>
    <row r="291" spans="1:8" x14ac:dyDescent="0.65">
      <c r="A291" s="71"/>
      <c r="B291" s="154"/>
      <c r="C291" s="154"/>
      <c r="D291" s="154"/>
      <c r="E291" s="164"/>
      <c r="F291" s="96"/>
      <c r="G291" s="154"/>
      <c r="H291" s="154" t="str">
        <f>IFERROR(_xlfn.XLOOKUP(Table135[[#This Row],[מס"ד]],TeamList2[מס"ד],TeamList2[מס'' הקבוצה]),"")</f>
        <v/>
      </c>
    </row>
    <row r="292" spans="1:8" x14ac:dyDescent="0.65">
      <c r="A292" s="71"/>
    </row>
  </sheetData>
  <mergeCells count="4">
    <mergeCell ref="S1:U1"/>
    <mergeCell ref="M1:O1"/>
    <mergeCell ref="D1:L1"/>
    <mergeCell ref="P1:R1"/>
  </mergeCells>
  <phoneticPr fontId="19" type="noConversion"/>
  <pageMargins left="0.7" right="0.7" top="0.75" bottom="0.75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65C7-936F-4FFB-B09E-AF60316601A4}">
  <sheetPr codeName="Sheet6"/>
  <dimension ref="A1:AE295"/>
  <sheetViews>
    <sheetView rightToLeft="1" view="pageBreakPreview" topLeftCell="E102" zoomScaleNormal="90" zoomScaleSheetLayoutView="100" workbookViewId="0">
      <selection activeCell="A120" sqref="A120:S120"/>
    </sheetView>
  </sheetViews>
  <sheetFormatPr defaultColWidth="9.20703125" defaultRowHeight="14" x14ac:dyDescent="0.65"/>
  <cols>
    <col min="1" max="1" width="12.4140625" style="27" customWidth="1"/>
    <col min="2" max="2" width="47.70703125" style="68" customWidth="1"/>
    <col min="3" max="4" width="14.70703125" style="68" customWidth="1"/>
    <col min="5" max="5" width="18.20703125" style="68" customWidth="1"/>
    <col min="6" max="6" width="12.4140625" style="27" customWidth="1"/>
    <col min="7" max="7" width="47.70703125" style="68" customWidth="1"/>
    <col min="8" max="9" width="14.70703125" style="68" customWidth="1"/>
    <col min="10" max="10" width="18.20703125" style="68" customWidth="1"/>
    <col min="11" max="11" width="12.4140625" style="27" customWidth="1"/>
    <col min="12" max="12" width="47.70703125" style="68" customWidth="1"/>
    <col min="13" max="14" width="14.70703125" style="68" customWidth="1"/>
    <col min="15" max="15" width="18.20703125" style="68" customWidth="1"/>
    <col min="16" max="16" width="12.4140625" style="27" customWidth="1"/>
    <col min="17" max="17" width="47.70703125" style="68" customWidth="1"/>
    <col min="18" max="19" width="14.70703125" style="68" customWidth="1"/>
    <col min="20" max="20" width="18.20703125" style="68" customWidth="1"/>
    <col min="21" max="16384" width="9.20703125" style="27"/>
  </cols>
  <sheetData>
    <row r="1" spans="1:31" ht="19.95" customHeight="1" x14ac:dyDescent="0.65">
      <c r="A1" s="66"/>
      <c r="B1" s="67">
        <v>1</v>
      </c>
      <c r="F1" s="66"/>
      <c r="G1" s="67">
        <f>15</f>
        <v>15</v>
      </c>
      <c r="K1" s="66"/>
      <c r="L1" s="67">
        <f>29</f>
        <v>29</v>
      </c>
      <c r="P1" s="66"/>
      <c r="Q1" s="67">
        <f>43</f>
        <v>43</v>
      </c>
    </row>
    <row r="2" spans="1:31" ht="19.95" customHeight="1" x14ac:dyDescent="0.65">
      <c r="A2" s="66"/>
      <c r="F2" s="66"/>
      <c r="K2" s="66"/>
      <c r="P2" s="66"/>
    </row>
    <row r="3" spans="1:31" ht="19.95" customHeight="1" x14ac:dyDescent="0.65">
      <c r="A3" s="66"/>
      <c r="F3" s="66"/>
      <c r="K3" s="66"/>
      <c r="P3" s="66"/>
    </row>
    <row r="4" spans="1:31" ht="19.95" customHeight="1" x14ac:dyDescent="0.65">
      <c r="A4" s="66"/>
      <c r="F4" s="66"/>
      <c r="K4" s="66"/>
      <c r="P4" s="66"/>
    </row>
    <row r="5" spans="1:31" ht="19.95" customHeight="1" x14ac:dyDescent="0.65">
      <c r="A5" s="66"/>
      <c r="F5" s="66"/>
      <c r="K5" s="66"/>
      <c r="P5" s="66"/>
    </row>
    <row r="6" spans="1:31" ht="19.95" customHeight="1" thickBot="1" x14ac:dyDescent="0.8">
      <c r="A6" s="66"/>
      <c r="F6" s="66"/>
      <c r="K6" s="66"/>
      <c r="P6" s="66"/>
    </row>
    <row r="7" spans="1:31" ht="19.95" customHeight="1" thickBot="1" x14ac:dyDescent="0.8">
      <c r="A7" s="66"/>
      <c r="B7" s="275" t="str">
        <f>_xlfn.XLOOKUP(B1,TeamList[מס"ד],TeamList[מס'' הקבוצה])&amp;" "&amp;_xlfn.XLOOKUP(B1,TeamList[מס"ד],TeamList[שם הקבוצה])&amp;" "&amp;_xlfn.XLOOKUP(B1,TeamList[מס"ד],TeamList[ישוב])</f>
        <v>3163 מקיף אעבלין</v>
      </c>
      <c r="C7" s="276"/>
      <c r="D7" s="277"/>
      <c r="E7" s="64"/>
      <c r="F7" s="66"/>
      <c r="G7" s="275" t="str">
        <f>_xlfn.XLOOKUP(G1,TeamList[מס"ד],TeamList[מס'' הקבוצה])&amp;" "&amp;_xlfn.XLOOKUP(G1,TeamList[מס"ד],TeamList[שם הקבוצה])&amp;" "&amp;_xlfn.XLOOKUP(G1,TeamList[מס"ד],TeamList[ישוב])</f>
        <v>3146 אלבוכארי עראבה</v>
      </c>
      <c r="H7" s="276"/>
      <c r="I7" s="277"/>
      <c r="J7" s="64"/>
      <c r="K7" s="66"/>
      <c r="L7" s="275" t="str">
        <f>_xlfn.XLOOKUP(L1,TeamList[מס"ד],TeamList[מס'' הקבוצה])&amp;" "&amp;_xlfn.XLOOKUP(L1,TeamList[מס"ד],TeamList[שם הקבוצה])&amp;" "&amp;_xlfn.XLOOKUP(L1,TeamList[מס"ד],TeamList[ישוב])</f>
        <v>1333 אפרתה ירושלים</v>
      </c>
      <c r="M7" s="276"/>
      <c r="N7" s="277"/>
      <c r="O7" s="64"/>
      <c r="P7" s="66"/>
      <c r="Q7" s="275" t="str">
        <f>_xlfn.XLOOKUP(Q1,TeamList[מס"ד],TeamList[מס'' הקבוצה])&amp;" "&amp;_xlfn.XLOOKUP(Q1,TeamList[מס"ד],TeamList[שם הקבוצה])&amp;" "&amp;_xlfn.XLOOKUP(Q1,TeamList[מס"ד],TeamList[ישוב])</f>
        <v>2748 מקיף כוכב  כאוכב אבו אל-היג'א</v>
      </c>
      <c r="R7" s="276"/>
      <c r="S7" s="277"/>
      <c r="T7" s="64"/>
    </row>
    <row r="8" spans="1:31" ht="19.95" customHeight="1" thickBot="1" x14ac:dyDescent="0.8">
      <c r="A8" s="66"/>
      <c r="B8" s="63" t="s">
        <v>35</v>
      </c>
      <c r="C8" s="206" t="s">
        <v>184</v>
      </c>
      <c r="D8" s="28" t="s">
        <v>185</v>
      </c>
      <c r="E8" s="64"/>
      <c r="F8" s="66"/>
      <c r="G8" s="63" t="s">
        <v>35</v>
      </c>
      <c r="H8" s="206" t="s">
        <v>184</v>
      </c>
      <c r="I8" s="28" t="s">
        <v>185</v>
      </c>
      <c r="J8" s="64"/>
      <c r="K8" s="66"/>
      <c r="L8" s="63" t="s">
        <v>35</v>
      </c>
      <c r="M8" s="206" t="s">
        <v>184</v>
      </c>
      <c r="N8" s="28" t="s">
        <v>185</v>
      </c>
      <c r="O8" s="64"/>
      <c r="P8" s="66"/>
      <c r="Q8" s="63" t="s">
        <v>35</v>
      </c>
      <c r="R8" s="206" t="s">
        <v>184</v>
      </c>
      <c r="S8" s="28" t="s">
        <v>185</v>
      </c>
      <c r="T8" s="64"/>
    </row>
    <row r="9" spans="1:31" ht="19.95" customHeight="1" x14ac:dyDescent="0.65">
      <c r="A9" s="66"/>
      <c r="B9" s="207" t="s">
        <v>113</v>
      </c>
      <c r="C9" s="205">
        <f>Opening</f>
        <v>0.41666666666666669</v>
      </c>
      <c r="D9" s="29">
        <f>C9+TIME(0,25,0)</f>
        <v>0.43402777777777779</v>
      </c>
      <c r="E9" s="74"/>
      <c r="F9" s="66"/>
      <c r="G9" s="207" t="s">
        <v>113</v>
      </c>
      <c r="H9" s="205">
        <f>Opening</f>
        <v>0.41666666666666669</v>
      </c>
      <c r="I9" s="29">
        <f>H9+TIME(0,25,0)</f>
        <v>0.43402777777777779</v>
      </c>
      <c r="J9" s="74"/>
      <c r="K9" s="66"/>
      <c r="L9" s="207" t="s">
        <v>113</v>
      </c>
      <c r="M9" s="205">
        <f>Opening</f>
        <v>0.41666666666666669</v>
      </c>
      <c r="N9" s="29">
        <f>M9+TIME(0,25,0)</f>
        <v>0.43402777777777779</v>
      </c>
      <c r="O9" s="74"/>
      <c r="P9" s="66"/>
      <c r="Q9" s="207" t="s">
        <v>113</v>
      </c>
      <c r="R9" s="205">
        <f>Opening</f>
        <v>0.41666666666666669</v>
      </c>
      <c r="S9" s="29">
        <f>R9+TIME(0,25,0)</f>
        <v>0.43402777777777779</v>
      </c>
      <c r="T9" s="74"/>
    </row>
    <row r="10" spans="1:31" ht="19.95" customHeight="1" x14ac:dyDescent="0.65">
      <c r="A10" s="66"/>
      <c r="B10" s="30" t="str">
        <f>CONCATENATE(" חדר שיפוט ",_xlfn.XLOOKUP(B1,TeamList[מס"ד],TeamList[חדר שיפוט]))</f>
        <v xml:space="preserve"> חדר שיפוט 1 אדום</v>
      </c>
      <c r="C10" s="204">
        <f>_xlfn.XLOOKUP(B1,TimeTable[מס"ד],TimeTable[שעת שיפוט])</f>
        <v>0.36458333333333331</v>
      </c>
      <c r="D10" s="31">
        <f>C10+JS</f>
        <v>0.3833333333333333</v>
      </c>
      <c r="E10" s="75"/>
      <c r="F10" s="66"/>
      <c r="G10" s="30" t="str">
        <f>CONCATENATE(" חדר שיפוט ",_xlfn.XLOOKUP(G1,TeamList[מס"ד],TeamList[חדר שיפוט]))</f>
        <v xml:space="preserve"> חדר שיפוט 1 אדום</v>
      </c>
      <c r="H10" s="204">
        <f>_xlfn.XLOOKUP(G1,TimeTable[מס"ד],TimeTable[שעת שיפוט])</f>
        <v>0.4375</v>
      </c>
      <c r="I10" s="31">
        <f>H10+JS</f>
        <v>0.45624999999999999</v>
      </c>
      <c r="J10" s="75"/>
      <c r="K10" s="66"/>
      <c r="L10" s="30" t="str">
        <f>CONCATENATE(" חדר שיפוט ",_xlfn.XLOOKUP(L1,TeamList[מס"ד],TeamList[חדר שיפוט]))</f>
        <v xml:space="preserve"> חדר שיפוט 1 אדום</v>
      </c>
      <c r="M10" s="204">
        <f>_xlfn.XLOOKUP(L1,TimeTable[מס"ד],TimeTable[שעת שיפוט])</f>
        <v>0.5</v>
      </c>
      <c r="N10" s="31">
        <f>M10+JS</f>
        <v>0.51875000000000004</v>
      </c>
      <c r="O10" s="75"/>
      <c r="P10" s="66"/>
      <c r="Q10" s="30" t="str">
        <f>CONCATENATE(" חדר שיפוט ",_xlfn.XLOOKUP(Q1,TeamList[מס"ד],TeamList[חדר שיפוט]))</f>
        <v xml:space="preserve"> חדר שיפוט 1 אדום</v>
      </c>
      <c r="R10" s="204">
        <f>_xlfn.XLOOKUP(Q1,TimeTable[מס"ד],TimeTable[שעת שיפוט])</f>
        <v>0.59374999999999989</v>
      </c>
      <c r="S10" s="31">
        <f>R10+JS</f>
        <v>0.61249999999999993</v>
      </c>
      <c r="T10" s="75"/>
    </row>
    <row r="11" spans="1:31" ht="19.95" customHeight="1" x14ac:dyDescent="0.65">
      <c r="A11" s="77" t="str">
        <f>_xlfn.XLOOKUP(B1,TimeTable[מס"ד],TimeTable[שולחן הרצת אימון])</f>
        <v>1 אדום</v>
      </c>
      <c r="B11" s="30" t="str">
        <f>" מקצה אימונים - שולחן "&amp;A11&amp;" כניסה "&amp;IF(COUNTIF('תכנית לפי קבוצות'!$AA$3:$AA$6,A11)&gt;0,"א'","ב'")</f>
        <v xml:space="preserve"> מקצה אימונים - שולחן 1 אדום כניסה א'</v>
      </c>
      <c r="C11" s="204">
        <f>_xlfn.XLOOKUP(B1,TimeTable[מס"ד],TimeTable[שעת הרצת אימון])</f>
        <v>0.39791666666666659</v>
      </c>
      <c r="D11" s="31">
        <f>C11+TIME(0,3,0)</f>
        <v>0.39999999999999991</v>
      </c>
      <c r="E11" s="76"/>
      <c r="F11" s="77" t="str">
        <f>_xlfn.XLOOKUP(G1,TimeTable[מס"ד],TimeTable[שולחן הרצת אימון])</f>
        <v>6 אדום</v>
      </c>
      <c r="G11" s="30" t="str">
        <f>" מקצה אימונים - שולחן "&amp;F11&amp;" כניסה "&amp;IF(COUNTIF('תכנית לפי קבוצות'!$AA$3:$AA$6,F11)&gt;0,"א'","ב'")</f>
        <v xml:space="preserve"> מקצה אימונים - שולחן 6 אדום כניסה ב'</v>
      </c>
      <c r="H11" s="204">
        <f>_xlfn.XLOOKUP(G1,TimeTable[מס"ד],TimeTable[שעת הרצת אימון])</f>
        <v>0.37708333333333327</v>
      </c>
      <c r="I11" s="31">
        <f>H11+TIME(0,3,0)</f>
        <v>0.3791666666666666</v>
      </c>
      <c r="J11" s="76"/>
      <c r="K11" s="77" t="str">
        <f>_xlfn.XLOOKUP(L1,TimeTable[מס"ד],TimeTable[שולחן הרצת אימון])</f>
        <v>2 אדום</v>
      </c>
      <c r="L11" s="30" t="str">
        <f>" מקצה אימונים - שולחן "&amp;K11&amp;" כניסה "&amp;IF(COUNTIF('תכנית לפי קבוצות'!$AA$3:$AA$6,K11)&gt;0,"א'","ב'")</f>
        <v xml:space="preserve"> מקצה אימונים - שולחן 2 אדום כניסה א'</v>
      </c>
      <c r="M11" s="204">
        <f>_xlfn.XLOOKUP(L1,TimeTable[מס"ד],TimeTable[שעת הרצת אימון])</f>
        <v>0.38124999999999992</v>
      </c>
      <c r="N11" s="31">
        <f>M11+TIME(0,3,0)</f>
        <v>0.38333333333333325</v>
      </c>
      <c r="O11" s="76"/>
      <c r="P11" s="77" t="str">
        <f>_xlfn.XLOOKUP(Q1,TimeTable[מס"ד],TimeTable[שולחן הרצת אימון])</f>
        <v>3 אדום</v>
      </c>
      <c r="Q11" s="30" t="str">
        <f>" מקצה אימונים - שולחן "&amp;P11&amp;" כניסה "&amp;IF(COUNTIF('תכנית לפי קבוצות'!$AA$3:$AA$6,P11)&gt;0,"א'","ב'")</f>
        <v xml:space="preserve"> מקצה אימונים - שולחן 3 אדום כניסה א'</v>
      </c>
      <c r="R11" s="204">
        <f>_xlfn.XLOOKUP(Q1,TimeTable[מס"ד],TimeTable[שעת הרצת אימון])</f>
        <v>0.40624999999999994</v>
      </c>
      <c r="S11" s="31">
        <f>R11+TIME(0,3,0)</f>
        <v>0.40833333333333327</v>
      </c>
      <c r="T11" s="76"/>
    </row>
    <row r="12" spans="1:31" ht="19.95" customHeight="1" x14ac:dyDescent="0.65">
      <c r="A12" s="66" t="str">
        <f>_xlfn.XLOOKUP(B1,TimeTable[מס"ד],TimeTable[שולחן הרצה 1])</f>
        <v>3 אדום</v>
      </c>
      <c r="B12" s="30" t="str">
        <f>" מקצה 1 - שולחן "&amp;A12&amp;" כניסה "&amp;IF(COUNTIF('תכנית לפי קבוצות'!$AA$3:$AA$6,A12)&gt;0,"א'","ב'")</f>
        <v xml:space="preserve"> מקצה 1 - שולחן 3 אדום כניסה א'</v>
      </c>
      <c r="C12" s="204">
        <f>_xlfn.XLOOKUP(B1,TimeTable[מס"ד],TimeTable[שעת הרצה 1])</f>
        <v>0.44791666666666635</v>
      </c>
      <c r="D12" s="31">
        <f t="shared" ref="D12:D14" si="0">C12+TIME(0,3,0)</f>
        <v>0.44999999999999968</v>
      </c>
      <c r="E12" s="76"/>
      <c r="F12" s="66" t="str">
        <f>_xlfn.XLOOKUP(G1,TimeTable[מס"ד],TimeTable[שולחן הרצה 1])</f>
        <v>7 אדום</v>
      </c>
      <c r="G12" s="30" t="str">
        <f>" מקצה 1 - שולחן "&amp;F12&amp;" כניסה "&amp;IF(COUNTIF('תכנית לפי קבוצות'!$AA$3:$AA$6,F12)&gt;0,"א'","ב'")</f>
        <v xml:space="preserve"> מקצה 1 - שולחן 7 אדום כניסה ב'</v>
      </c>
      <c r="H12" s="204">
        <f>_xlfn.XLOOKUP(G1,TimeTable[מס"ד],TimeTable[שעת הרצה 1])</f>
        <v>0.47916666666666624</v>
      </c>
      <c r="I12" s="31">
        <f t="shared" ref="I12:I14" si="1">H12+TIME(0,3,0)</f>
        <v>0.48124999999999957</v>
      </c>
      <c r="J12" s="76"/>
      <c r="K12" s="66" t="str">
        <f>_xlfn.XLOOKUP(L1,TimeTable[מס"ד],TimeTable[שולחן הרצה 1])</f>
        <v>2 אדום</v>
      </c>
      <c r="L12" s="30" t="str">
        <f>" מקצה 1 - שולחן "&amp;K12&amp;" כניסה "&amp;IF(COUNTIF('תכנית לפי קבוצות'!$AA$3:$AA$6,K12)&gt;0,"א'","ב'")</f>
        <v xml:space="preserve"> מקצה 1 - שולחן 2 אדום כניסה א'</v>
      </c>
      <c r="M12" s="204">
        <f>_xlfn.XLOOKUP(L1,TimeTable[מס"ד],TimeTable[שעת הרצה 1])</f>
        <v>0.44097222222222193</v>
      </c>
      <c r="N12" s="31">
        <f t="shared" ref="N12:N14" si="2">M12+TIME(0,3,0)</f>
        <v>0.44305555555555526</v>
      </c>
      <c r="O12" s="76"/>
      <c r="P12" s="66" t="str">
        <f>_xlfn.XLOOKUP(Q1,TimeTable[מס"ד],TimeTable[שולחן הרצה 1])</f>
        <v>4 אדום</v>
      </c>
      <c r="Q12" s="30" t="str">
        <f>" מקצה 1 - שולחן "&amp;P12&amp;" כניסה "&amp;IF(COUNTIF('תכנית לפי קבוצות'!$AA$3:$AA$6,P12)&gt;0,"א'","ב'")</f>
        <v xml:space="preserve"> מקצה 1 - שולחן 4 אדום כניסה א'</v>
      </c>
      <c r="R12" s="204">
        <f>_xlfn.XLOOKUP(Q1,TimeTable[מס"ד],TimeTable[שעת הרצה 1])</f>
        <v>0.46874999999999961</v>
      </c>
      <c r="S12" s="31">
        <f t="shared" ref="S12:S14" si="3">R12+TIME(0,3,0)</f>
        <v>0.47083333333333294</v>
      </c>
      <c r="T12" s="76"/>
    </row>
    <row r="13" spans="1:31" ht="19.95" customHeight="1" x14ac:dyDescent="0.65">
      <c r="A13" s="66" t="str">
        <f>_xlfn.XLOOKUP(B1,TimeTable[מס"ד],TimeTable[שולחן הרצה 2])</f>
        <v>4 אדום</v>
      </c>
      <c r="B13" s="30" t="str">
        <f>" מקצה 2 - שולחן "&amp;A13&amp;" כניסה "&amp;IF(COUNTIF('תכנית לפי קבוצות'!$AA$3:$AA$6,A13)&gt;0,"א'","ב'")</f>
        <v xml:space="preserve"> מקצה 2 - שולחן 4 אדום כניסה א'</v>
      </c>
      <c r="C13" s="204">
        <f>_xlfn.XLOOKUP(B1,TimeTable[מס"ד],TimeTable[שעת הרצה 2])</f>
        <v>0.5138888888888884</v>
      </c>
      <c r="D13" s="31">
        <f t="shared" si="0"/>
        <v>0.51597222222222172</v>
      </c>
      <c r="E13" s="76"/>
      <c r="F13" s="66" t="str">
        <f>_xlfn.XLOOKUP(G1,TimeTable[מס"ד],TimeTable[שולחן הרצה 2])</f>
        <v>8 אדום</v>
      </c>
      <c r="G13" s="30" t="str">
        <f>" מקצה 2 - שולחן "&amp;F13&amp;" כניסה "&amp;IF(COUNTIF('תכנית לפי קבוצות'!$AA$3:$AA$6,F13)&gt;0,"א'","ב'")</f>
        <v xml:space="preserve"> מקצה 2 - שולחן 8 אדום כניסה ב'</v>
      </c>
      <c r="H13" s="204">
        <f>_xlfn.XLOOKUP(G1,TimeTable[מס"ד],TimeTable[שעת הרצה 2])</f>
        <v>0.53124999999999944</v>
      </c>
      <c r="I13" s="31">
        <f t="shared" si="1"/>
        <v>0.53333333333333277</v>
      </c>
      <c r="J13" s="76"/>
      <c r="K13" s="66" t="str">
        <f>_xlfn.XLOOKUP(L1,TimeTable[מס"ד],TimeTable[שולחן הרצה 2])</f>
        <v>3 אדום</v>
      </c>
      <c r="L13" s="30" t="str">
        <f>" מקצה 2 - שולחן "&amp;K13&amp;" כניסה "&amp;IF(COUNTIF('תכנית לפי קבוצות'!$AA$3:$AA$6,K13)&gt;0,"א'","ב'")</f>
        <v xml:space="preserve"> מקצה 2 - שולחן 3 אדום כניסה א'</v>
      </c>
      <c r="M13" s="204">
        <f>_xlfn.XLOOKUP(L1,TimeTable[מס"ד],TimeTable[שעת הרצה 2])</f>
        <v>0.54861111111111049</v>
      </c>
      <c r="N13" s="31">
        <f t="shared" si="2"/>
        <v>0.55069444444444382</v>
      </c>
      <c r="O13" s="76"/>
      <c r="P13" s="66" t="str">
        <f>_xlfn.XLOOKUP(Q1,TimeTable[מס"ד],TimeTable[שולחן הרצה 2])</f>
        <v>6 אדום</v>
      </c>
      <c r="Q13" s="30" t="str">
        <f>" מקצה 2 - שולחן "&amp;P13&amp;" כניסה "&amp;IF(COUNTIF('תכנית לפי קבוצות'!$AA$3:$AA$6,P13)&gt;0,"א'","ב'")</f>
        <v xml:space="preserve"> מקצה 2 - שולחן 6 אדום כניסה ב'</v>
      </c>
      <c r="R13" s="204">
        <f>_xlfn.XLOOKUP(Q1,TimeTable[מס"ד],TimeTable[שעת הרצה 2])</f>
        <v>0.53819444444444386</v>
      </c>
      <c r="S13" s="31">
        <f t="shared" si="3"/>
        <v>0.54027777777777719</v>
      </c>
      <c r="T13" s="76"/>
    </row>
    <row r="14" spans="1:31" ht="19.95" customHeight="1" x14ac:dyDescent="0.65">
      <c r="A14" s="66" t="str">
        <f>_xlfn.XLOOKUP(B1,TimeTable[מס"ד],TimeTable[שולחן הרצה 3])</f>
        <v>2 אדום</v>
      </c>
      <c r="B14" s="30" t="str">
        <f>" מקצה 3 - שולחן "&amp;A14&amp;" כניסה "&amp;IF(COUNTIF('תכנית לפי קבוצות'!$AA$3:$AA$6,A14)&gt;0,"א'","ב'")</f>
        <v xml:space="preserve"> מקצה 3 - שולחן 2 אדום כניסה א'</v>
      </c>
      <c r="C14" s="204">
        <f>_xlfn.XLOOKUP(B1,TimeTable[מס"ד],TimeTable[שעת הרצה 3])</f>
        <v>0.59027777777777701</v>
      </c>
      <c r="D14" s="31">
        <f t="shared" si="0"/>
        <v>0.59236111111111034</v>
      </c>
      <c r="E14" s="76"/>
      <c r="F14" s="66" t="str">
        <f>_xlfn.XLOOKUP(G1,TimeTable[מס"ד],TimeTable[שולחן הרצה 3])</f>
        <v>8 אדום</v>
      </c>
      <c r="G14" s="30" t="str">
        <f>" מקצה 3 - שולחן "&amp;F14&amp;" כניסה "&amp;IF(COUNTIF('תכנית לפי קבוצות'!$AA$3:$AA$6,F14)&gt;0,"א'","ב'")</f>
        <v xml:space="preserve"> מקצה 3 - שולחן 8 אדום כניסה ב'</v>
      </c>
      <c r="H14" s="204">
        <f>_xlfn.XLOOKUP(G1,TimeTable[מס"ד],TimeTable[שעת הרצה 3])</f>
        <v>0.60069444444444364</v>
      </c>
      <c r="I14" s="31">
        <f t="shared" si="1"/>
        <v>0.60277777777777697</v>
      </c>
      <c r="J14" s="76"/>
      <c r="K14" s="66" t="str">
        <f>_xlfn.XLOOKUP(L1,TimeTable[מס"ד],TimeTable[שולחן הרצה 3])</f>
        <v>6 אדום</v>
      </c>
      <c r="L14" s="30" t="str">
        <f>" מקצה 3 - שולחן "&amp;K14&amp;" כניסה "&amp;IF(COUNTIF('תכנית לפי קבוצות'!$AA$3:$AA$6,K14)&gt;0,"א'","ב'")</f>
        <v xml:space="preserve"> מקצה 3 - שולחן 6 אדום כניסה ב'</v>
      </c>
      <c r="M14" s="204">
        <f>_xlfn.XLOOKUP(L1,TimeTable[מס"ד],TimeTable[שעת הרצה 3])</f>
        <v>0.61458333333333248</v>
      </c>
      <c r="N14" s="31">
        <f t="shared" si="2"/>
        <v>0.61666666666666581</v>
      </c>
      <c r="O14" s="76"/>
      <c r="P14" s="66" t="str">
        <f>_xlfn.XLOOKUP(Q1,TimeTable[מס"ד],TimeTable[שולחן הרצה 3])</f>
        <v>4 אדום</v>
      </c>
      <c r="Q14" s="30" t="str">
        <f>" מקצה 3 - שולחן "&amp;P14&amp;" כניסה "&amp;IF(COUNTIF('תכנית לפי קבוצות'!$AA$3:$AA$6,P14)&gt;0,"א'","ב'")</f>
        <v xml:space="preserve"> מקצה 3 - שולחן 4 אדום כניסה א'</v>
      </c>
      <c r="R14" s="204">
        <f>_xlfn.XLOOKUP(Q1,TimeTable[מס"ד],TimeTable[שעת הרצה 3])</f>
        <v>0.62499999999999911</v>
      </c>
      <c r="S14" s="31">
        <f t="shared" si="3"/>
        <v>0.62708333333333244</v>
      </c>
      <c r="T14" s="76"/>
    </row>
    <row r="15" spans="1:31" s="69" customFormat="1" ht="19.95" customHeight="1" x14ac:dyDescent="0.65">
      <c r="A15" s="203">
        <f>pits+TIME(2,0,0)</f>
        <v>8.3333333333333329E-2</v>
      </c>
      <c r="B15" s="30" t="s">
        <v>192</v>
      </c>
      <c r="C15" s="204"/>
      <c r="D15" s="31"/>
      <c r="E15" s="75"/>
      <c r="F15" s="203">
        <f>pits+TIME(2,0,0)</f>
        <v>8.3333333333333329E-2</v>
      </c>
      <c r="G15" s="30" t="s">
        <v>192</v>
      </c>
      <c r="H15" s="204"/>
      <c r="I15" s="31"/>
      <c r="J15" s="75"/>
      <c r="K15" s="203">
        <f>pits+TIME(2,0,0)</f>
        <v>8.3333333333333329E-2</v>
      </c>
      <c r="L15" s="30" t="s">
        <v>192</v>
      </c>
      <c r="M15" s="204"/>
      <c r="N15" s="31"/>
      <c r="O15" s="75"/>
      <c r="P15" s="203">
        <f>pits+TIME(2,0,0)</f>
        <v>8.3333333333333329E-2</v>
      </c>
      <c r="Q15" s="30" t="s">
        <v>192</v>
      </c>
      <c r="R15" s="204"/>
      <c r="S15" s="31"/>
      <c r="T15" s="75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</row>
    <row r="16" spans="1:31" s="69" customFormat="1" ht="19.95" customHeight="1" x14ac:dyDescent="0.65">
      <c r="A16" s="77" t="str">
        <f>_xlfn.XLOOKUP(B1,TimeTable[מס"ד],TimeTable[שולחן הרצת טורניר])</f>
        <v>1 אדום</v>
      </c>
      <c r="B16" s="30" t="str">
        <f>" טורניר ידידות - שולחן "&amp;A16&amp;" כניסה "&amp;IF(COUNTIF('תכנית לפי קבוצות'!$AA$3:$AA$6,A16)&gt;0,"א'","ב'")&amp;", עם קבוצה "&amp;_xlfn.XLOOKUP(B1,TeamList2[מס"ד],TeamList2[מס'' הקבוצה])</f>
        <v xml:space="preserve"> טורניר ידידות - שולחן 1 אדום כניסה א', עם קבוצה 2476</v>
      </c>
      <c r="C16" s="204">
        <f>_xlfn.XLOOKUP(_xlfn.XLOOKUP(B1,TeamList[מס"ד],TeamList[מס'' הקבוצה]),Table135[קבוצה],Table135[שעה])</f>
        <v>0.66666666666666663</v>
      </c>
      <c r="D16" s="31">
        <f t="shared" ref="D16" si="4">C16+TIME(0,3,0)</f>
        <v>0.66874999999999996</v>
      </c>
      <c r="E16" s="75"/>
      <c r="F16" s="77" t="str">
        <f>_xlfn.XLOOKUP(G1,TimeTable[מס"ד],TimeTable[שולחן הרצת טורניר])</f>
        <v>2 אדום</v>
      </c>
      <c r="G16" s="30" t="str">
        <f>" טורניר ידידות - שולחן "&amp;F16&amp;" כניסה "&amp;IF(COUNTIF('תכנית לפי קבוצות'!$AA$3:$AA$6,F16)&gt;0,"א'","ב'")&amp;", עם קבוצה "&amp;_xlfn.XLOOKUP(G1,TeamList2[מס"ד],TeamList2[מס'' הקבוצה])</f>
        <v xml:space="preserve"> טורניר ידידות - שולחן 2 אדום כניסה א', עם קבוצה 2333</v>
      </c>
      <c r="H16" s="204">
        <f>_xlfn.XLOOKUP(_xlfn.XLOOKUP(G1,TeamList[מס"ד],TeamList[מס'' הקבוצה]),Table135[קבוצה],Table135[שעה])</f>
        <v>0.67361111111111105</v>
      </c>
      <c r="I16" s="31">
        <f t="shared" ref="I16" si="5">H16+TIME(0,3,0)</f>
        <v>0.67569444444444438</v>
      </c>
      <c r="J16" s="75"/>
      <c r="K16" s="77" t="str">
        <f>_xlfn.XLOOKUP(L1,TimeTable[מס"ד],TimeTable[שולחן הרצת טורניר])</f>
        <v>3 אדום</v>
      </c>
      <c r="L16" s="30" t="str">
        <f>" טורניר ידידות - שולחן "&amp;K16&amp;" כניסה "&amp;IF(COUNTIF('תכנית לפי קבוצות'!$AA$3:$AA$6,K16)&gt;0,"א'","ב'")&amp;", עם קבוצה "&amp;_xlfn.XLOOKUP(L1,TeamList2[מס"ד],TeamList2[מס'' הקבוצה])</f>
        <v xml:space="preserve"> טורניר ידידות - שולחן 3 אדום כניסה א', עם קבוצה 660</v>
      </c>
      <c r="M16" s="204">
        <f>_xlfn.XLOOKUP(_xlfn.XLOOKUP(L1,TeamList[מס"ד],TeamList[מס'' הקבוצה]),Table135[קבוצה],Table135[שעה])</f>
        <v>0.68055555555555547</v>
      </c>
      <c r="N16" s="31">
        <f t="shared" ref="N16" si="6">M16+TIME(0,3,0)</f>
        <v>0.6826388888888888</v>
      </c>
      <c r="O16" s="75"/>
      <c r="P16" s="77" t="str">
        <f>_xlfn.XLOOKUP(Q1,TimeTable[מס"ד],TimeTable[שולחן הרצת טורניר])</f>
        <v>4 כחול</v>
      </c>
      <c r="Q16" s="30" t="str">
        <f>" טורניר ידידות - שולחן "&amp;P16&amp;" כניסה "&amp;IF(COUNTIF('תכנית לפי קבוצות'!$AA$3:$AA$6,P16)&gt;0,"א'","ב'")&amp;", עם קבוצה "&amp;_xlfn.XLOOKUP(Q1,TeamList2[מס"ד],TeamList2[מס'' הקבוצה])</f>
        <v xml:space="preserve"> טורניר ידידות - שולחן 4 כחול כניסה ב', עם קבוצה 2918</v>
      </c>
      <c r="R16" s="204">
        <f>_xlfn.XLOOKUP(_xlfn.XLOOKUP(Q1,TeamList[מס"ד],TeamList[מס'' הקבוצה]),Table135[קבוצה],Table135[שעה])</f>
        <v>0.66666666666666663</v>
      </c>
      <c r="S16" s="31">
        <f t="shared" ref="S16" si="7">R16+TIME(0,3,0)</f>
        <v>0.66874999999999996</v>
      </c>
      <c r="T16" s="75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</row>
    <row r="17" spans="1:31" s="69" customFormat="1" ht="19.95" customHeight="1" x14ac:dyDescent="0.65">
      <c r="A17" s="66"/>
      <c r="B17" s="139" t="str">
        <f>" "&amp;'תכנית לפי קבוצות'!$I$91</f>
        <v xml:space="preserve"> מסיבוטיקה</v>
      </c>
      <c r="C17" s="204">
        <f>מסיבוטיקה</f>
        <v>0.69444444444444453</v>
      </c>
      <c r="D17" s="31">
        <f>C18-TIME(0,5,0)</f>
        <v>0.70486111111111094</v>
      </c>
      <c r="E17" s="65"/>
      <c r="F17" s="66"/>
      <c r="G17" s="139" t="str">
        <f>" "&amp;'תכנית לפי קבוצות'!$I$91</f>
        <v xml:space="preserve"> מסיבוטיקה</v>
      </c>
      <c r="H17" s="204">
        <f>מסיבוטיקה</f>
        <v>0.69444444444444453</v>
      </c>
      <c r="I17" s="31">
        <f>H18-TIME(0,5,0)</f>
        <v>0.70486111111111094</v>
      </c>
      <c r="J17" s="65"/>
      <c r="K17" s="66"/>
      <c r="L17" s="139" t="str">
        <f>" "&amp;'תכנית לפי קבוצות'!$I$91</f>
        <v xml:space="preserve"> מסיבוטיקה</v>
      </c>
      <c r="M17" s="204">
        <f>מסיבוטיקה</f>
        <v>0.69444444444444453</v>
      </c>
      <c r="N17" s="31">
        <f>M18-TIME(0,5,0)</f>
        <v>0.70486111111111094</v>
      </c>
      <c r="O17" s="65"/>
      <c r="P17" s="66"/>
      <c r="Q17" s="139" t="str">
        <f>" "&amp;'תכנית לפי קבוצות'!$I$91</f>
        <v xml:space="preserve"> מסיבוטיקה</v>
      </c>
      <c r="R17" s="204">
        <f>מסיבוטיקה</f>
        <v>0.69444444444444453</v>
      </c>
      <c r="S17" s="31">
        <f>R18-TIME(0,5,0)</f>
        <v>0.70486111111111094</v>
      </c>
      <c r="T17" s="65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</row>
    <row r="18" spans="1:31" s="69" customFormat="1" ht="19.95" customHeight="1" thickBot="1" x14ac:dyDescent="0.8">
      <c r="A18" s="66"/>
      <c r="B18" s="70" t="s">
        <v>114</v>
      </c>
      <c r="C18" s="208">
        <f>סיום</f>
        <v>0.70833333333333315</v>
      </c>
      <c r="D18" s="209">
        <f>_xlfn.XLOOKUP(N,break_scheduler['# of teams],break_scheduler[END])</f>
        <v>0.73958333333333315</v>
      </c>
      <c r="E18" s="65"/>
      <c r="F18" s="66"/>
      <c r="G18" s="70" t="s">
        <v>114</v>
      </c>
      <c r="H18" s="208">
        <f>סיום</f>
        <v>0.70833333333333315</v>
      </c>
      <c r="I18" s="209">
        <f>_xlfn.XLOOKUP(N,break_scheduler['# of teams],break_scheduler[END])</f>
        <v>0.73958333333333315</v>
      </c>
      <c r="J18" s="65"/>
      <c r="K18" s="66"/>
      <c r="L18" s="70" t="s">
        <v>114</v>
      </c>
      <c r="M18" s="208">
        <f>סיום</f>
        <v>0.70833333333333315</v>
      </c>
      <c r="N18" s="209">
        <f>_xlfn.XLOOKUP(N,break_scheduler['# of teams],break_scheduler[END])</f>
        <v>0.73958333333333315</v>
      </c>
      <c r="O18" s="65"/>
      <c r="P18" s="66"/>
      <c r="Q18" s="70" t="s">
        <v>114</v>
      </c>
      <c r="R18" s="208">
        <f>סיום</f>
        <v>0.70833333333333315</v>
      </c>
      <c r="S18" s="209">
        <f>_xlfn.XLOOKUP(N,break_scheduler['# of teams],break_scheduler[END])</f>
        <v>0.73958333333333315</v>
      </c>
      <c r="T18" s="65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</row>
    <row r="19" spans="1:31" s="69" customFormat="1" ht="43.9" customHeight="1" x14ac:dyDescent="0.65">
      <c r="A19" s="210" t="s">
        <v>186</v>
      </c>
      <c r="B19" s="62"/>
      <c r="C19" s="62"/>
      <c r="D19" s="62"/>
      <c r="E19" s="62"/>
      <c r="F19" s="210" t="s">
        <v>186</v>
      </c>
      <c r="G19" s="62"/>
      <c r="H19" s="62"/>
      <c r="I19" s="62"/>
      <c r="J19" s="62"/>
      <c r="K19" s="210" t="s">
        <v>186</v>
      </c>
      <c r="L19" s="62"/>
      <c r="M19" s="62"/>
      <c r="N19" s="62"/>
      <c r="O19" s="62"/>
      <c r="P19" s="210" t="s">
        <v>186</v>
      </c>
      <c r="Q19" s="62"/>
      <c r="R19" s="62"/>
      <c r="S19" s="62"/>
      <c r="T19" s="62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</row>
    <row r="20" spans="1:31" s="69" customFormat="1" ht="19.95" customHeight="1" x14ac:dyDescent="0.65">
      <c r="A20" s="278" t="s">
        <v>187</v>
      </c>
      <c r="B20" s="278"/>
      <c r="C20" s="278"/>
      <c r="D20" s="278"/>
      <c r="E20" s="278"/>
      <c r="F20" s="278" t="s">
        <v>187</v>
      </c>
      <c r="G20" s="278"/>
      <c r="H20" s="278"/>
      <c r="I20" s="278"/>
      <c r="J20" s="278"/>
      <c r="K20" s="278" t="s">
        <v>187</v>
      </c>
      <c r="L20" s="278"/>
      <c r="M20" s="278"/>
      <c r="N20" s="278"/>
      <c r="O20" s="278"/>
      <c r="P20" s="278" t="s">
        <v>187</v>
      </c>
      <c r="Q20" s="278"/>
      <c r="R20" s="278"/>
      <c r="S20" s="278"/>
      <c r="T20" s="278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</row>
    <row r="21" spans="1:31" s="69" customFormat="1" ht="19.95" customHeight="1" x14ac:dyDescent="0.65">
      <c r="A21" s="279" t="s">
        <v>37</v>
      </c>
      <c r="B21" s="279"/>
      <c r="C21" s="279"/>
      <c r="D21" s="279"/>
      <c r="E21" s="279"/>
      <c r="F21" s="279" t="s">
        <v>37</v>
      </c>
      <c r="G21" s="279"/>
      <c r="H21" s="279"/>
      <c r="I21" s="279"/>
      <c r="J21" s="279"/>
      <c r="K21" s="279" t="s">
        <v>37</v>
      </c>
      <c r="L21" s="279"/>
      <c r="M21" s="279"/>
      <c r="N21" s="279"/>
      <c r="O21" s="279"/>
      <c r="P21" s="279" t="s">
        <v>37</v>
      </c>
      <c r="Q21" s="279"/>
      <c r="R21" s="279"/>
      <c r="S21" s="279"/>
      <c r="T21" s="279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</row>
    <row r="22" spans="1:31" ht="19.95" customHeight="1" x14ac:dyDescent="0.65">
      <c r="B22" s="67">
        <f>B1+1</f>
        <v>2</v>
      </c>
      <c r="G22" s="67">
        <f>G1+1</f>
        <v>16</v>
      </c>
      <c r="L22" s="67">
        <f>L1+1</f>
        <v>30</v>
      </c>
      <c r="Q22" s="67">
        <f>Q1+1</f>
        <v>44</v>
      </c>
    </row>
    <row r="23" spans="1:31" ht="19.95" customHeight="1" x14ac:dyDescent="0.65"/>
    <row r="24" spans="1:31" ht="19.95" customHeight="1" x14ac:dyDescent="0.65"/>
    <row r="25" spans="1:31" ht="19.95" customHeight="1" x14ac:dyDescent="0.65"/>
    <row r="26" spans="1:31" ht="19.95" customHeight="1" x14ac:dyDescent="0.65"/>
    <row r="27" spans="1:31" ht="19.95" customHeight="1" thickBot="1" x14ac:dyDescent="0.8">
      <c r="B27" s="4"/>
      <c r="C27" s="4"/>
      <c r="D27" s="4"/>
      <c r="G27" s="4"/>
      <c r="H27" s="4"/>
      <c r="I27" s="4"/>
      <c r="L27" s="4"/>
      <c r="M27" s="4"/>
      <c r="N27" s="4"/>
      <c r="Q27" s="4"/>
      <c r="R27" s="4"/>
      <c r="S27" s="4"/>
    </row>
    <row r="28" spans="1:31" ht="19.95" customHeight="1" thickBot="1" x14ac:dyDescent="0.8">
      <c r="A28" s="66"/>
      <c r="B28" s="275" t="str">
        <f>_xlfn.XLOOKUP(B22,TeamList[מס"ד],TeamList[מס'' הקבוצה])&amp;" "&amp;_xlfn.XLOOKUP(B22,TeamList[מס"ד],TeamList[שם הקבוצה])&amp;" "&amp;_xlfn.XLOOKUP(B22,TeamList[מס"ד],TeamList[ישוב])</f>
        <v>3180 פלך בנים ירושלים</v>
      </c>
      <c r="C28" s="276"/>
      <c r="D28" s="277"/>
      <c r="E28" s="64"/>
      <c r="F28" s="66"/>
      <c r="G28" s="275" t="str">
        <f>_xlfn.XLOOKUP(G22,TeamList[מס"ד],TeamList[מס'' הקבוצה])&amp;" "&amp;_xlfn.XLOOKUP(G22,TeamList[מס"ד],TeamList[שם הקבוצה])&amp;" "&amp;_xlfn.XLOOKUP(G22,TeamList[מס"ד],TeamList[ישוב])</f>
        <v>2977 הנדסאים  הרצליה</v>
      </c>
      <c r="H28" s="276"/>
      <c r="I28" s="277"/>
      <c r="J28" s="64"/>
      <c r="K28" s="66"/>
      <c r="L28" s="275" t="str">
        <f>_xlfn.XLOOKUP(L22,TeamList[מס"ד],TeamList[מס'' הקבוצה])&amp;" "&amp;_xlfn.XLOOKUP(L22,TeamList[מס"ד],TeamList[שם הקבוצה])&amp;" "&amp;_xlfn.XLOOKUP(L22,TeamList[מס"ד],TeamList[ישוב])</f>
        <v>662 אלגדיר  סח׳נין</v>
      </c>
      <c r="M28" s="276"/>
      <c r="N28" s="277"/>
      <c r="O28" s="64"/>
      <c r="P28" s="66"/>
      <c r="Q28" s="275" t="str">
        <f>_xlfn.XLOOKUP(Q22,TeamList[מס"ד],TeamList[מס'' הקבוצה])&amp;" "&amp;_xlfn.XLOOKUP(Q22,TeamList[מס"ד],TeamList[שם הקבוצה])&amp;" "&amp;_xlfn.XLOOKUP(Q22,TeamList[מס"ד],TeamList[ישוב])</f>
        <v>1332 אפרתה ירושלים</v>
      </c>
      <c r="R28" s="276"/>
      <c r="S28" s="277"/>
      <c r="T28" s="64"/>
    </row>
    <row r="29" spans="1:31" ht="19.95" customHeight="1" thickBot="1" x14ac:dyDescent="0.8">
      <c r="A29" s="66"/>
      <c r="B29" s="63" t="s">
        <v>35</v>
      </c>
      <c r="C29" s="206" t="s">
        <v>184</v>
      </c>
      <c r="D29" s="28" t="s">
        <v>185</v>
      </c>
      <c r="E29" s="64"/>
      <c r="F29" s="66"/>
      <c r="G29" s="63" t="s">
        <v>35</v>
      </c>
      <c r="H29" s="206" t="s">
        <v>184</v>
      </c>
      <c r="I29" s="28" t="s">
        <v>185</v>
      </c>
      <c r="J29" s="64"/>
      <c r="K29" s="66"/>
      <c r="L29" s="63" t="s">
        <v>35</v>
      </c>
      <c r="M29" s="206" t="s">
        <v>184</v>
      </c>
      <c r="N29" s="28" t="s">
        <v>185</v>
      </c>
      <c r="O29" s="64"/>
      <c r="P29" s="66"/>
      <c r="Q29" s="63" t="s">
        <v>35</v>
      </c>
      <c r="R29" s="206" t="s">
        <v>184</v>
      </c>
      <c r="S29" s="28" t="s">
        <v>185</v>
      </c>
      <c r="T29" s="64"/>
    </row>
    <row r="30" spans="1:31" ht="19.95" customHeight="1" x14ac:dyDescent="0.65">
      <c r="A30" s="66"/>
      <c r="B30" s="207" t="s">
        <v>113</v>
      </c>
      <c r="C30" s="205">
        <f>Opening</f>
        <v>0.41666666666666669</v>
      </c>
      <c r="D30" s="29">
        <f>C30+TIME(0,25,0)</f>
        <v>0.43402777777777779</v>
      </c>
      <c r="E30" s="74"/>
      <c r="F30" s="66"/>
      <c r="G30" s="207" t="s">
        <v>113</v>
      </c>
      <c r="H30" s="205">
        <f>Opening</f>
        <v>0.41666666666666669</v>
      </c>
      <c r="I30" s="29">
        <f>H30+TIME(0,25,0)</f>
        <v>0.43402777777777779</v>
      </c>
      <c r="J30" s="74"/>
      <c r="K30" s="66"/>
      <c r="L30" s="207" t="s">
        <v>113</v>
      </c>
      <c r="M30" s="205">
        <f>Opening</f>
        <v>0.41666666666666669</v>
      </c>
      <c r="N30" s="29">
        <f>M30+TIME(0,25,0)</f>
        <v>0.43402777777777779</v>
      </c>
      <c r="O30" s="74"/>
      <c r="P30" s="66"/>
      <c r="Q30" s="207" t="s">
        <v>113</v>
      </c>
      <c r="R30" s="205">
        <f>Opening</f>
        <v>0.41666666666666669</v>
      </c>
      <c r="S30" s="29">
        <f>R30+TIME(0,25,0)</f>
        <v>0.43402777777777779</v>
      </c>
      <c r="T30" s="74"/>
    </row>
    <row r="31" spans="1:31" ht="19.95" customHeight="1" x14ac:dyDescent="0.65">
      <c r="A31" s="66"/>
      <c r="B31" s="30" t="str">
        <f>CONCATENATE(" חדר שיפוט ",_xlfn.XLOOKUP(B22,TeamList[מס"ד],TeamList[חדר שיפוט]))</f>
        <v xml:space="preserve"> חדר שיפוט 2 אדום</v>
      </c>
      <c r="C31" s="204">
        <f>_xlfn.XLOOKUP(B22,TimeTable[מס"ד],TimeTable[שעת שיפוט])</f>
        <v>0.36458333333333331</v>
      </c>
      <c r="D31" s="31">
        <f>C31+JS</f>
        <v>0.3833333333333333</v>
      </c>
      <c r="E31" s="75"/>
      <c r="F31" s="66"/>
      <c r="G31" s="30" t="str">
        <f>CONCATENATE(" חדר שיפוט ",_xlfn.XLOOKUP(G22,TeamList[מס"ד],TeamList[חדר שיפוט]))</f>
        <v xml:space="preserve"> חדר שיפוט 2 אדום</v>
      </c>
      <c r="H31" s="204">
        <f>_xlfn.XLOOKUP(G22,TimeTable[מס"ד],TimeTable[שעת שיפוט])</f>
        <v>0.4375</v>
      </c>
      <c r="I31" s="31">
        <f>H31+JS</f>
        <v>0.45624999999999999</v>
      </c>
      <c r="J31" s="75"/>
      <c r="K31" s="66"/>
      <c r="L31" s="30" t="str">
        <f>CONCATENATE(" חדר שיפוט ",_xlfn.XLOOKUP(L22,TeamList[מס"ד],TeamList[חדר שיפוט]))</f>
        <v xml:space="preserve"> חדר שיפוט 2 אדום</v>
      </c>
      <c r="M31" s="204">
        <f>_xlfn.XLOOKUP(L22,TimeTable[מס"ד],TimeTable[שעת שיפוט])</f>
        <v>0.5</v>
      </c>
      <c r="N31" s="31">
        <f>M31+JS</f>
        <v>0.51875000000000004</v>
      </c>
      <c r="O31" s="75"/>
      <c r="P31" s="66"/>
      <c r="Q31" s="30" t="str">
        <f>CONCATENATE(" חדר שיפוט ",_xlfn.XLOOKUP(Q22,TeamList[מס"ד],TeamList[חדר שיפוט]))</f>
        <v xml:space="preserve"> חדר שיפוט 2 אדום</v>
      </c>
      <c r="R31" s="204">
        <f>_xlfn.XLOOKUP(Q22,TimeTable[מס"ד],TimeTable[שעת שיפוט])</f>
        <v>0.59374999999999989</v>
      </c>
      <c r="S31" s="31">
        <f>R31+JS</f>
        <v>0.61249999999999993</v>
      </c>
      <c r="T31" s="75"/>
    </row>
    <row r="32" spans="1:31" ht="19.95" customHeight="1" x14ac:dyDescent="0.65">
      <c r="A32" s="77" t="str">
        <f>_xlfn.XLOOKUP(B22,TimeTable[מס"ד],TimeTable[שולחן הרצת אימון])</f>
        <v>5 אדום</v>
      </c>
      <c r="B32" s="30" t="str">
        <f>" מקצה אימונים - שולחן "&amp;A32&amp;" כניסה "&amp;IF(COUNTIF('תכנית לפי קבוצות'!$AA$3:$AA$6,A32)&gt;0,"א'","ב'")</f>
        <v xml:space="preserve"> מקצה אימונים - שולחן 5 אדום כניסה ב'</v>
      </c>
      <c r="C32" s="204">
        <f>_xlfn.XLOOKUP(B22,TimeTable[מס"ד],TimeTable[שעת הרצת אימון])</f>
        <v>0.40208333333333324</v>
      </c>
      <c r="D32" s="31">
        <f>C32+TIME(0,3,0)</f>
        <v>0.40416666666666656</v>
      </c>
      <c r="E32" s="76"/>
      <c r="F32" s="77" t="str">
        <f>_xlfn.XLOOKUP(G22,TimeTable[מס"ד],TimeTable[שולחן הרצת אימון])</f>
        <v>6 אדום</v>
      </c>
      <c r="G32" s="30" t="str">
        <f>" מקצה אימונים - שולחן "&amp;F32&amp;" כניסה "&amp;IF(COUNTIF('תכנית לפי קבוצות'!$AA$3:$AA$6,F32)&gt;0,"א'","ב'")</f>
        <v xml:space="preserve"> מקצה אימונים - שולחן 6 אדום כניסה ב'</v>
      </c>
      <c r="H32" s="204">
        <f>_xlfn.XLOOKUP(G22,TimeTable[מס"ד],TimeTable[שעת הרצת אימון])</f>
        <v>0.4104166666666666</v>
      </c>
      <c r="I32" s="31">
        <f>H32+TIME(0,3,0)</f>
        <v>0.41249999999999992</v>
      </c>
      <c r="J32" s="76"/>
      <c r="K32" s="77" t="str">
        <f>_xlfn.XLOOKUP(L22,TimeTable[מס"ד],TimeTable[שולחן הרצת אימון])</f>
        <v>6 אדום</v>
      </c>
      <c r="L32" s="30" t="str">
        <f>" מקצה אימונים - שולחן "&amp;K32&amp;" כניסה "&amp;IF(COUNTIF('תכנית לפי קבוצות'!$AA$3:$AA$6,K32)&gt;0,"א'","ב'")</f>
        <v xml:space="preserve"> מקצה אימונים - שולחן 6 אדום כניסה ב'</v>
      </c>
      <c r="M32" s="204">
        <f>_xlfn.XLOOKUP(L22,TimeTable[מס"ד],TimeTable[שעת הרצת אימון])</f>
        <v>0.38541666666666663</v>
      </c>
      <c r="N32" s="31">
        <f>M32+TIME(0,3,0)</f>
        <v>0.38749999999999996</v>
      </c>
      <c r="O32" s="76"/>
      <c r="P32" s="77" t="str">
        <f>_xlfn.XLOOKUP(Q22,TimeTable[מס"ד],TimeTable[שולחן הרצת אימון])</f>
        <v>7 אדום</v>
      </c>
      <c r="Q32" s="30" t="str">
        <f>" מקצה אימונים - שולחן "&amp;P32&amp;" כניסה "&amp;IF(COUNTIF('תכנית לפי קבוצות'!$AA$3:$AA$6,P32)&gt;0,"א'","ב'")</f>
        <v xml:space="preserve"> מקצה אימונים - שולחן 7 אדום כניסה ב'</v>
      </c>
      <c r="R32" s="204">
        <f>_xlfn.XLOOKUP(Q22,TimeTable[מס"ד],TimeTable[שעת הרצת אימון])</f>
        <v>0.4104166666666666</v>
      </c>
      <c r="S32" s="31">
        <f>R32+TIME(0,3,0)</f>
        <v>0.41249999999999992</v>
      </c>
      <c r="T32" s="76"/>
    </row>
    <row r="33" spans="1:31" ht="19.95" customHeight="1" x14ac:dyDescent="0.65">
      <c r="A33" s="66" t="str">
        <f>_xlfn.XLOOKUP(B22,TimeTable[מס"ד],TimeTable[שולחן הרצה 1])</f>
        <v>7 אדום</v>
      </c>
      <c r="B33" s="30" t="str">
        <f>" מקצה 1 - שולחן "&amp;A33&amp;" כניסה "&amp;IF(COUNTIF('תכנית לפי קבוצות'!$AA$3:$AA$6,A33)&gt;0,"א'","ב'")</f>
        <v xml:space="preserve"> מקצה 1 - שולחן 7 אדום כניסה ב'</v>
      </c>
      <c r="C33" s="204">
        <f>_xlfn.XLOOKUP(B22,TimeTable[מס"ד],TimeTable[שעת הרצה 1])</f>
        <v>0.45138888888888856</v>
      </c>
      <c r="D33" s="31">
        <f t="shared" ref="D33:D35" si="8">C33+TIME(0,3,0)</f>
        <v>0.45347222222222189</v>
      </c>
      <c r="E33" s="76"/>
      <c r="F33" s="66" t="str">
        <f>_xlfn.XLOOKUP(G22,TimeTable[מס"ד],TimeTable[שולחן הרצה 1])</f>
        <v>4 אדום</v>
      </c>
      <c r="G33" s="30" t="str">
        <f>" מקצה 1 - שולחן "&amp;F33&amp;" כניסה "&amp;IF(COUNTIF('תכנית לפי קבוצות'!$AA$3:$AA$6,F33)&gt;0,"א'","ב'")</f>
        <v xml:space="preserve"> מקצה 1 - שולחן 4 אדום כניסה א'</v>
      </c>
      <c r="H33" s="204">
        <f>_xlfn.XLOOKUP(G22,TimeTable[מס"ד],TimeTable[שעת הרצה 1])</f>
        <v>0.47569444444444403</v>
      </c>
      <c r="I33" s="31">
        <f t="shared" ref="I33:I35" si="9">H33+TIME(0,3,0)</f>
        <v>0.47777777777777736</v>
      </c>
      <c r="J33" s="76"/>
      <c r="K33" s="66" t="str">
        <f>_xlfn.XLOOKUP(L22,TimeTable[מס"ד],TimeTable[שולחן הרצה 1])</f>
        <v>6 אדום</v>
      </c>
      <c r="L33" s="30" t="str">
        <f>" מקצה 1 - שולחן "&amp;K33&amp;" כניסה "&amp;IF(COUNTIF('תכנית לפי קבוצות'!$AA$3:$AA$6,K33)&gt;0,"א'","ב'")</f>
        <v xml:space="preserve"> מקצה 1 - שולחן 6 אדום כניסה ב'</v>
      </c>
      <c r="M33" s="204">
        <f>_xlfn.XLOOKUP(L22,TimeTable[מס"ד],TimeTable[שעת הרצה 1])</f>
        <v>0.44444444444444414</v>
      </c>
      <c r="N33" s="31">
        <f t="shared" ref="N33:N35" si="10">M33+TIME(0,3,0)</f>
        <v>0.44652777777777747</v>
      </c>
      <c r="O33" s="76"/>
      <c r="P33" s="66" t="str">
        <f>_xlfn.XLOOKUP(Q22,TimeTable[מס"ד],TimeTable[שולחן הרצה 1])</f>
        <v>8 אדום</v>
      </c>
      <c r="Q33" s="30" t="str">
        <f>" מקצה 1 - שולחן "&amp;P33&amp;" כניסה "&amp;IF(COUNTIF('תכנית לפי קבוצות'!$AA$3:$AA$6,P33)&gt;0,"א'","ב'")</f>
        <v xml:space="preserve"> מקצה 1 - שולחן 8 אדום כניסה ב'</v>
      </c>
      <c r="R33" s="204">
        <f>_xlfn.XLOOKUP(Q22,TimeTable[מס"ד],TimeTable[שעת הרצה 1])</f>
        <v>0.47222222222222182</v>
      </c>
      <c r="S33" s="31">
        <f t="shared" ref="S33:S35" si="11">R33+TIME(0,3,0)</f>
        <v>0.47430555555555515</v>
      </c>
      <c r="T33" s="76"/>
    </row>
    <row r="34" spans="1:31" ht="19.95" customHeight="1" x14ac:dyDescent="0.65">
      <c r="A34" s="66" t="str">
        <f>_xlfn.XLOOKUP(B22,TimeTable[מס"ד],TimeTable[שולחן הרצה 2])</f>
        <v>8 אדום</v>
      </c>
      <c r="B34" s="30" t="str">
        <f>" מקצה 2 - שולחן "&amp;A34&amp;" כניסה "&amp;IF(COUNTIF('תכנית לפי קבוצות'!$AA$3:$AA$6,A34)&gt;0,"א'","ב'")</f>
        <v xml:space="preserve"> מקצה 2 - שולחן 8 אדום כניסה ב'</v>
      </c>
      <c r="C34" s="204">
        <f>_xlfn.XLOOKUP(B22,TimeTable[מס"ד],TimeTable[שעת הרצה 2])</f>
        <v>0.51736111111111061</v>
      </c>
      <c r="D34" s="31">
        <f t="shared" si="8"/>
        <v>0.51944444444444393</v>
      </c>
      <c r="E34" s="76"/>
      <c r="F34" s="66" t="str">
        <f>_xlfn.XLOOKUP(G22,TimeTable[מס"ד],TimeTable[שולחן הרצה 2])</f>
        <v>7 אדום</v>
      </c>
      <c r="G34" s="30" t="str">
        <f>" מקצה 2 - שולחן "&amp;F34&amp;" כניסה "&amp;IF(COUNTIF('תכנית לפי קבוצות'!$AA$3:$AA$6,F34)&gt;0,"א'","ב'")</f>
        <v xml:space="preserve"> מקצה 2 - שולחן 7 אדום כניסה ב'</v>
      </c>
      <c r="H34" s="204">
        <f>_xlfn.XLOOKUP(G22,TimeTable[מס"ד],TimeTable[שעת הרצה 2])</f>
        <v>0.52430555555555503</v>
      </c>
      <c r="I34" s="31">
        <f t="shared" si="9"/>
        <v>0.52638888888888835</v>
      </c>
      <c r="J34" s="76"/>
      <c r="K34" s="66" t="str">
        <f>_xlfn.XLOOKUP(L22,TimeTable[מס"ד],TimeTable[שולחן הרצה 2])</f>
        <v>7 אדום</v>
      </c>
      <c r="L34" s="30" t="str">
        <f>" מקצה 2 - שולחן "&amp;K34&amp;" כניסה "&amp;IF(COUNTIF('תכנית לפי קבוצות'!$AA$3:$AA$6,K34)&gt;0,"א'","ב'")</f>
        <v xml:space="preserve"> מקצה 2 - שולחן 7 אדום כניסה ב'</v>
      </c>
      <c r="M34" s="204">
        <f>_xlfn.XLOOKUP(L22,TimeTable[מס"ד],TimeTable[שעת הרצה 2])</f>
        <v>0.5520833333333327</v>
      </c>
      <c r="N34" s="31">
        <f t="shared" si="10"/>
        <v>0.55416666666666603</v>
      </c>
      <c r="O34" s="76"/>
      <c r="P34" s="66" t="str">
        <f>_xlfn.XLOOKUP(Q22,TimeTable[מס"ד],TimeTable[שולחן הרצה 2])</f>
        <v>2 אדום</v>
      </c>
      <c r="Q34" s="30" t="str">
        <f>" מקצה 2 - שולחן "&amp;P34&amp;" כניסה "&amp;IF(COUNTIF('תכנית לפי קבוצות'!$AA$3:$AA$6,P34)&gt;0,"א'","ב'")</f>
        <v xml:space="preserve"> מקצה 2 - שולחן 2 אדום כניסה א'</v>
      </c>
      <c r="R34" s="204">
        <f>_xlfn.XLOOKUP(Q22,TimeTable[מס"ד],TimeTable[שעת הרצה 2])</f>
        <v>0.54166666666666607</v>
      </c>
      <c r="S34" s="31">
        <f t="shared" si="11"/>
        <v>0.5437499999999994</v>
      </c>
      <c r="T34" s="76"/>
    </row>
    <row r="35" spans="1:31" ht="19.95" customHeight="1" x14ac:dyDescent="0.65">
      <c r="A35" s="66" t="str">
        <f>_xlfn.XLOOKUP(B22,TimeTable[מס"ד],TimeTable[שולחן הרצה 3])</f>
        <v>1 אדום</v>
      </c>
      <c r="B35" s="30" t="str">
        <f>" מקצה 3 - שולחן "&amp;A35&amp;" כניסה "&amp;IF(COUNTIF('תכנית לפי קבוצות'!$AA$3:$AA$6,A35)&gt;0,"א'","ב'")</f>
        <v xml:space="preserve"> מקצה 3 - שולחן 1 אדום כניסה א'</v>
      </c>
      <c r="C35" s="204">
        <f>_xlfn.XLOOKUP(B22,TimeTable[מס"ד],TimeTable[שעת הרצה 3])</f>
        <v>0.59027777777777701</v>
      </c>
      <c r="D35" s="31">
        <f t="shared" si="8"/>
        <v>0.59236111111111034</v>
      </c>
      <c r="E35" s="76"/>
      <c r="F35" s="66" t="str">
        <f>_xlfn.XLOOKUP(G22,TimeTable[מס"ד],TimeTable[שולחן הרצה 3])</f>
        <v>7 אדום</v>
      </c>
      <c r="G35" s="30" t="str">
        <f>" מקצה 3 - שולחן "&amp;F35&amp;" כניסה "&amp;IF(COUNTIF('תכנית לפי קבוצות'!$AA$3:$AA$6,F35)&gt;0,"א'","ב'")</f>
        <v xml:space="preserve"> מקצה 3 - שולחן 7 אדום כניסה ב'</v>
      </c>
      <c r="H35" s="204">
        <f>_xlfn.XLOOKUP(G22,TimeTable[מס"ד],TimeTable[שעת הרצה 3])</f>
        <v>0.60069444444444364</v>
      </c>
      <c r="I35" s="31">
        <f t="shared" si="9"/>
        <v>0.60277777777777697</v>
      </c>
      <c r="J35" s="76"/>
      <c r="K35" s="66" t="str">
        <f>_xlfn.XLOOKUP(L22,TimeTable[מס"ד],TimeTable[שולחן הרצה 3])</f>
        <v>5 אדום</v>
      </c>
      <c r="L35" s="30" t="str">
        <f>" מקצה 3 - שולחן "&amp;K35&amp;" כניסה "&amp;IF(COUNTIF('תכנית לפי קבוצות'!$AA$3:$AA$6,K35)&gt;0,"א'","ב'")</f>
        <v xml:space="preserve"> מקצה 3 - שולחן 5 אדום כניסה ב'</v>
      </c>
      <c r="M35" s="204">
        <f>_xlfn.XLOOKUP(L22,TimeTable[מס"ד],TimeTable[שעת הרצה 3])</f>
        <v>0.61458333333333248</v>
      </c>
      <c r="N35" s="31">
        <f t="shared" si="10"/>
        <v>0.61666666666666581</v>
      </c>
      <c r="O35" s="76"/>
      <c r="P35" s="66" t="str">
        <f>_xlfn.XLOOKUP(Q22,TimeTable[מס"ד],TimeTable[שולחן הרצה 3])</f>
        <v>3 אדום</v>
      </c>
      <c r="Q35" s="30" t="str">
        <f>" מקצה 3 - שולחן "&amp;P35&amp;" כניסה "&amp;IF(COUNTIF('תכנית לפי קבוצות'!$AA$3:$AA$6,P35)&gt;0,"א'","ב'")</f>
        <v xml:space="preserve"> מקצה 3 - שולחן 3 אדום כניסה א'</v>
      </c>
      <c r="R35" s="204">
        <f>_xlfn.XLOOKUP(Q22,TimeTable[מס"ד],TimeTable[שעת הרצה 3])</f>
        <v>0.62499999999999911</v>
      </c>
      <c r="S35" s="31">
        <f t="shared" si="11"/>
        <v>0.62708333333333244</v>
      </c>
      <c r="T35" s="76"/>
    </row>
    <row r="36" spans="1:31" s="69" customFormat="1" ht="19.95" customHeight="1" x14ac:dyDescent="0.65">
      <c r="A36" s="203">
        <f>pits+TIME(2,0,0)</f>
        <v>8.3333333333333329E-2</v>
      </c>
      <c r="B36" s="30" t="s">
        <v>192</v>
      </c>
      <c r="C36" s="204"/>
      <c r="D36" s="31"/>
      <c r="E36" s="75"/>
      <c r="F36" s="203">
        <f>pits+TIME(2,0,0)</f>
        <v>8.3333333333333329E-2</v>
      </c>
      <c r="G36" s="30" t="s">
        <v>192</v>
      </c>
      <c r="H36" s="204"/>
      <c r="I36" s="31"/>
      <c r="J36" s="75"/>
      <c r="K36" s="203">
        <f>pits+TIME(2,0,0)</f>
        <v>8.3333333333333329E-2</v>
      </c>
      <c r="L36" s="30" t="s">
        <v>192</v>
      </c>
      <c r="M36" s="204"/>
      <c r="N36" s="31"/>
      <c r="O36" s="75"/>
      <c r="P36" s="203">
        <f>pits+TIME(2,0,0)</f>
        <v>8.3333333333333329E-2</v>
      </c>
      <c r="Q36" s="30" t="s">
        <v>192</v>
      </c>
      <c r="R36" s="204"/>
      <c r="S36" s="31"/>
      <c r="T36" s="75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</row>
    <row r="37" spans="1:31" s="69" customFormat="1" ht="19.95" customHeight="1" x14ac:dyDescent="0.65">
      <c r="A37" s="77" t="str">
        <f>_xlfn.XLOOKUP(B22,TimeTable[מס"ד],TimeTable[שולחן הרצת טורניר])</f>
        <v>5 אדום</v>
      </c>
      <c r="B37" s="30" t="str">
        <f>" טורניר ידידות - שולחן "&amp;A37&amp;" כניסה "&amp;IF(COUNTIF('תכנית לפי קבוצות'!$AA$3:$AA$6,A37)&gt;0,"א'","ב'")&amp;", עם קבוצה "&amp;_xlfn.XLOOKUP(B22,TeamList2[מס"ד],TeamList2[מס'' הקבוצה])</f>
        <v xml:space="preserve"> טורניר ידידות - שולחן 5 אדום כניסה ב', עם קבוצה 787</v>
      </c>
      <c r="C37" s="204">
        <f>_xlfn.XLOOKUP(_xlfn.XLOOKUP(B22,TeamList[מס"ד],TeamList[מס'' הקבוצה]),Table135[קבוצה],Table135[שעה])</f>
        <v>0.67013888888888884</v>
      </c>
      <c r="D37" s="31">
        <f t="shared" ref="D37" si="12">C37+TIME(0,3,0)</f>
        <v>0.67222222222222217</v>
      </c>
      <c r="E37" s="75"/>
      <c r="F37" s="77" t="str">
        <f>_xlfn.XLOOKUP(G22,TimeTable[מס"ד],TimeTable[שולחן הרצת טורניר])</f>
        <v>6 אדום</v>
      </c>
      <c r="G37" s="30" t="str">
        <f>" טורניר ידידות - שולחן "&amp;F37&amp;" כניסה "&amp;IF(COUNTIF('תכנית לפי קבוצות'!$AA$3:$AA$6,F37)&gt;0,"א'","ב'")&amp;", עם קבוצה "&amp;_xlfn.XLOOKUP(G22,TeamList2[מס"ד],TeamList2[מס'' הקבוצה])</f>
        <v xml:space="preserve"> טורניר ידידות - שולחן 6 אדום כניסה ב', עם קבוצה 3253</v>
      </c>
      <c r="H37" s="204">
        <f>_xlfn.XLOOKUP(_xlfn.XLOOKUP(G22,TeamList[מס"ד],TeamList[מס'' הקבוצה]),Table135[קבוצה],Table135[שעה])</f>
        <v>0.67708333333333326</v>
      </c>
      <c r="I37" s="31">
        <f t="shared" ref="I37" si="13">H37+TIME(0,3,0)</f>
        <v>0.67916666666666659</v>
      </c>
      <c r="J37" s="75"/>
      <c r="K37" s="77" t="str">
        <f>_xlfn.XLOOKUP(L22,TimeTable[מס"ד],TimeTable[שולחן הרצת טורניר])</f>
        <v>7 אדום</v>
      </c>
      <c r="L37" s="30" t="str">
        <f>" טורניר ידידות - שולחן "&amp;K37&amp;" כניסה "&amp;IF(COUNTIF('תכנית לפי קבוצות'!$AA$3:$AA$6,K37)&gt;0,"א'","ב'")&amp;", עם קבוצה "&amp;_xlfn.XLOOKUP(L22,TeamList2[מס"ד],TeamList2[מס'' הקבוצה])</f>
        <v xml:space="preserve"> טורניר ידידות - שולחן 7 אדום כניסה ב', עם קבוצה 3002</v>
      </c>
      <c r="M37" s="204">
        <f>_xlfn.XLOOKUP(_xlfn.XLOOKUP(L22,TeamList[מס"ד],TeamList[מס'' הקבוצה]),Table135[קבוצה],Table135[שעה])</f>
        <v>0.68402777777777768</v>
      </c>
      <c r="N37" s="31">
        <f t="shared" ref="N37" si="14">M37+TIME(0,3,0)</f>
        <v>0.68611111111111101</v>
      </c>
      <c r="O37" s="75"/>
      <c r="P37" s="77" t="str">
        <f>_xlfn.XLOOKUP(Q22,TimeTable[מס"ד],TimeTable[שולחן הרצת טורניר])</f>
        <v>8 כחול</v>
      </c>
      <c r="Q37" s="30" t="str">
        <f>" טורניר ידידות - שולחן "&amp;P37&amp;" כניסה "&amp;IF(COUNTIF('תכנית לפי קבוצות'!$AA$3:$AA$6,P37)&gt;0,"א'","ב'")&amp;", עם קבוצה "&amp;_xlfn.XLOOKUP(Q22,TeamList2[מס"ד],TeamList2[מס'' הקבוצה])</f>
        <v xml:space="preserve"> טורניר ידידות - שולחן 8 כחול כניסה ב', עם קבוצה 1517</v>
      </c>
      <c r="R37" s="204">
        <f>_xlfn.XLOOKUP(_xlfn.XLOOKUP(Q22,TeamList[מס"ד],TeamList[מס'' הקבוצה]),Table135[קבוצה],Table135[שעה])</f>
        <v>0.67013888888888884</v>
      </c>
      <c r="S37" s="31">
        <f t="shared" ref="S37" si="15">R37+TIME(0,3,0)</f>
        <v>0.67222222222222217</v>
      </c>
      <c r="T37" s="75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</row>
    <row r="38" spans="1:31" s="69" customFormat="1" ht="19.95" customHeight="1" x14ac:dyDescent="0.65">
      <c r="A38" s="66"/>
      <c r="B38" s="139" t="str">
        <f>" "&amp;'תכנית לפי קבוצות'!$I$91</f>
        <v xml:space="preserve"> מסיבוטיקה</v>
      </c>
      <c r="C38" s="204">
        <f>מסיבוטיקה</f>
        <v>0.69444444444444453</v>
      </c>
      <c r="D38" s="31">
        <f>C39-TIME(0,5,0)</f>
        <v>0.70486111111111094</v>
      </c>
      <c r="E38" s="65"/>
      <c r="F38" s="66"/>
      <c r="G38" s="139" t="str">
        <f>" "&amp;'תכנית לפי קבוצות'!$I$91</f>
        <v xml:space="preserve"> מסיבוטיקה</v>
      </c>
      <c r="H38" s="204">
        <f>מסיבוטיקה</f>
        <v>0.69444444444444453</v>
      </c>
      <c r="I38" s="31">
        <f>H39-TIME(0,5,0)</f>
        <v>0.70486111111111094</v>
      </c>
      <c r="J38" s="65"/>
      <c r="K38" s="66"/>
      <c r="L38" s="139" t="str">
        <f>" "&amp;'תכנית לפי קבוצות'!$I$91</f>
        <v xml:space="preserve"> מסיבוטיקה</v>
      </c>
      <c r="M38" s="204">
        <f>מסיבוטיקה</f>
        <v>0.69444444444444453</v>
      </c>
      <c r="N38" s="31">
        <f>M39-TIME(0,5,0)</f>
        <v>0.70486111111111094</v>
      </c>
      <c r="O38" s="65"/>
      <c r="P38" s="66"/>
      <c r="Q38" s="139" t="str">
        <f>" "&amp;'תכנית לפי קבוצות'!$I$91</f>
        <v xml:space="preserve"> מסיבוטיקה</v>
      </c>
      <c r="R38" s="204">
        <f>מסיבוטיקה</f>
        <v>0.69444444444444453</v>
      </c>
      <c r="S38" s="31">
        <f>R39-TIME(0,5,0)</f>
        <v>0.70486111111111094</v>
      </c>
      <c r="T38" s="65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</row>
    <row r="39" spans="1:31" s="69" customFormat="1" ht="19.95" customHeight="1" thickBot="1" x14ac:dyDescent="0.8">
      <c r="A39" s="66"/>
      <c r="B39" s="70" t="s">
        <v>114</v>
      </c>
      <c r="C39" s="208">
        <f>סיום</f>
        <v>0.70833333333333315</v>
      </c>
      <c r="D39" s="209">
        <f>_xlfn.XLOOKUP(N,break_scheduler['# of teams],break_scheduler[END])</f>
        <v>0.73958333333333315</v>
      </c>
      <c r="E39" s="65"/>
      <c r="F39" s="66"/>
      <c r="G39" s="70" t="s">
        <v>114</v>
      </c>
      <c r="H39" s="208">
        <f>סיום</f>
        <v>0.70833333333333315</v>
      </c>
      <c r="I39" s="209">
        <f>_xlfn.XLOOKUP(N,break_scheduler['# of teams],break_scheduler[END])</f>
        <v>0.73958333333333315</v>
      </c>
      <c r="J39" s="65"/>
      <c r="K39" s="66"/>
      <c r="L39" s="70" t="s">
        <v>114</v>
      </c>
      <c r="M39" s="208">
        <f>סיום</f>
        <v>0.70833333333333315</v>
      </c>
      <c r="N39" s="209">
        <f>_xlfn.XLOOKUP(N,break_scheduler['# of teams],break_scheduler[END])</f>
        <v>0.73958333333333315</v>
      </c>
      <c r="O39" s="65"/>
      <c r="P39" s="66"/>
      <c r="Q39" s="70" t="s">
        <v>114</v>
      </c>
      <c r="R39" s="208">
        <f>סיום</f>
        <v>0.70833333333333315</v>
      </c>
      <c r="S39" s="209">
        <f>_xlfn.XLOOKUP(N,break_scheduler['# of teams],break_scheduler[END])</f>
        <v>0.73958333333333315</v>
      </c>
      <c r="T39" s="65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</row>
    <row r="40" spans="1:31" s="69" customFormat="1" ht="43.9" customHeight="1" x14ac:dyDescent="0.65">
      <c r="A40" s="210" t="s">
        <v>186</v>
      </c>
      <c r="B40" s="62"/>
      <c r="C40" s="62"/>
      <c r="D40" s="62"/>
      <c r="E40" s="62"/>
      <c r="F40" s="210" t="s">
        <v>186</v>
      </c>
      <c r="G40" s="62"/>
      <c r="H40" s="62"/>
      <c r="I40" s="62"/>
      <c r="J40" s="62"/>
      <c r="K40" s="210" t="s">
        <v>186</v>
      </c>
      <c r="L40" s="62"/>
      <c r="M40" s="62"/>
      <c r="N40" s="62"/>
      <c r="O40" s="62"/>
      <c r="P40" s="210" t="s">
        <v>186</v>
      </c>
      <c r="Q40" s="62"/>
      <c r="R40" s="62"/>
      <c r="S40" s="62"/>
      <c r="T40" s="62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</row>
    <row r="41" spans="1:31" s="69" customFormat="1" ht="19.95" customHeight="1" x14ac:dyDescent="0.65">
      <c r="A41" s="278" t="s">
        <v>187</v>
      </c>
      <c r="B41" s="278"/>
      <c r="C41" s="278"/>
      <c r="D41" s="278"/>
      <c r="E41" s="278"/>
      <c r="F41" s="278" t="s">
        <v>187</v>
      </c>
      <c r="G41" s="278"/>
      <c r="H41" s="278"/>
      <c r="I41" s="278"/>
      <c r="J41" s="278"/>
      <c r="K41" s="278" t="s">
        <v>187</v>
      </c>
      <c r="L41" s="278"/>
      <c r="M41" s="278"/>
      <c r="N41" s="278"/>
      <c r="O41" s="278"/>
      <c r="P41" s="278" t="s">
        <v>187</v>
      </c>
      <c r="Q41" s="278"/>
      <c r="R41" s="278"/>
      <c r="S41" s="278"/>
      <c r="T41" s="278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</row>
    <row r="42" spans="1:31" s="69" customFormat="1" ht="19.95" customHeight="1" x14ac:dyDescent="0.65">
      <c r="A42" s="279" t="s">
        <v>37</v>
      </c>
      <c r="B42" s="279"/>
      <c r="C42" s="279"/>
      <c r="D42" s="279"/>
      <c r="E42" s="279"/>
      <c r="F42" s="279" t="s">
        <v>37</v>
      </c>
      <c r="G42" s="279"/>
      <c r="H42" s="279"/>
      <c r="I42" s="279"/>
      <c r="J42" s="279"/>
      <c r="K42" s="279" t="s">
        <v>37</v>
      </c>
      <c r="L42" s="279"/>
      <c r="M42" s="279"/>
      <c r="N42" s="279"/>
      <c r="O42" s="279"/>
      <c r="P42" s="279" t="s">
        <v>37</v>
      </c>
      <c r="Q42" s="279"/>
      <c r="R42" s="279"/>
      <c r="S42" s="279"/>
      <c r="T42" s="279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</row>
    <row r="43" spans="1:31" ht="19.95" customHeight="1" x14ac:dyDescent="0.65">
      <c r="B43" s="67">
        <f>B22+1</f>
        <v>3</v>
      </c>
      <c r="G43" s="67">
        <f>G22+1</f>
        <v>17</v>
      </c>
      <c r="L43" s="67">
        <f>L22+1</f>
        <v>31</v>
      </c>
      <c r="Q43" s="67">
        <f>Q22+1</f>
        <v>45</v>
      </c>
    </row>
    <row r="44" spans="1:31" ht="19.95" customHeight="1" x14ac:dyDescent="0.65"/>
    <row r="45" spans="1:31" ht="19.95" customHeight="1" x14ac:dyDescent="0.65"/>
    <row r="46" spans="1:31" ht="19.95" customHeight="1" x14ac:dyDescent="0.65"/>
    <row r="47" spans="1:31" ht="19.95" customHeight="1" x14ac:dyDescent="0.65"/>
    <row r="48" spans="1:31" ht="19.95" customHeight="1" thickBot="1" x14ac:dyDescent="0.8">
      <c r="B48" s="4"/>
      <c r="C48" s="4"/>
      <c r="D48" s="4"/>
      <c r="G48" s="4"/>
      <c r="H48" s="4"/>
      <c r="I48" s="4"/>
      <c r="L48" s="4"/>
      <c r="M48" s="4"/>
      <c r="N48" s="4"/>
      <c r="Q48" s="4"/>
      <c r="R48" s="4"/>
      <c r="S48" s="4"/>
    </row>
    <row r="49" spans="1:31" ht="19.95" customHeight="1" thickBot="1" x14ac:dyDescent="0.8">
      <c r="A49" s="66"/>
      <c r="B49" s="275" t="str">
        <f>_xlfn.XLOOKUP(B43,TeamList[מס"ד],TeamList[מס'' הקבוצה])&amp;" "&amp;_xlfn.XLOOKUP(B43,TeamList[מס"ד],TeamList[שם הקבוצה])&amp;" "&amp;_xlfn.XLOOKUP(B43,TeamList[מס"ד],TeamList[ישוב])</f>
        <v>1042 כרמים בנימינה-גבעת עדה</v>
      </c>
      <c r="C49" s="276"/>
      <c r="D49" s="277"/>
      <c r="E49" s="64"/>
      <c r="F49" s="66"/>
      <c r="G49" s="275" t="str">
        <f>_xlfn.XLOOKUP(G43,TeamList[מס"ד],TeamList[מס'' הקבוצה])&amp;" "&amp;_xlfn.XLOOKUP(G43,TeamList[מס"ד],TeamList[שם הקבוצה])&amp;" "&amp;_xlfn.XLOOKUP(G43,TeamList[מס"ד],TeamList[ישוב])</f>
        <v>1083 AGCTeam אלון הגליל</v>
      </c>
      <c r="H49" s="276"/>
      <c r="I49" s="277"/>
      <c r="J49" s="64"/>
      <c r="K49" s="66"/>
      <c r="L49" s="275" t="str">
        <f>_xlfn.XLOOKUP(L43,TeamList[מס"ד],TeamList[מס'' הקבוצה])&amp;" "&amp;_xlfn.XLOOKUP(L43,TeamList[מס"ד],TeamList[שם הקבוצה])&amp;" "&amp;_xlfn.XLOOKUP(L43,TeamList[מס"ד],TeamList[ישוב])</f>
        <v>1301 מרכז מחוננים  עראבה</v>
      </c>
      <c r="M49" s="276"/>
      <c r="N49" s="277"/>
      <c r="O49" s="64"/>
      <c r="P49" s="66"/>
      <c r="Q49" s="275" t="str">
        <f>_xlfn.XLOOKUP(Q43,TeamList[מס"ד],TeamList[מס'' הקבוצה])&amp;" "&amp;_xlfn.XLOOKUP(Q43,TeamList[מס"ד],TeamList[שם הקבוצה])&amp;" "&amp;_xlfn.XLOOKUP(Q43,TeamList[מס"ד],TeamList[ישוב])</f>
        <v>3006 כוכב  כאוכב אבו אל-היג'א</v>
      </c>
      <c r="R49" s="276"/>
      <c r="S49" s="277"/>
      <c r="T49" s="64"/>
    </row>
    <row r="50" spans="1:31" ht="19.95" customHeight="1" thickBot="1" x14ac:dyDescent="0.8">
      <c r="A50" s="66"/>
      <c r="B50" s="63" t="s">
        <v>35</v>
      </c>
      <c r="C50" s="206" t="s">
        <v>184</v>
      </c>
      <c r="D50" s="28" t="s">
        <v>185</v>
      </c>
      <c r="E50" s="64"/>
      <c r="F50" s="66"/>
      <c r="G50" s="63" t="s">
        <v>35</v>
      </c>
      <c r="H50" s="206" t="s">
        <v>184</v>
      </c>
      <c r="I50" s="28" t="s">
        <v>185</v>
      </c>
      <c r="J50" s="64"/>
      <c r="K50" s="66"/>
      <c r="L50" s="63" t="s">
        <v>35</v>
      </c>
      <c r="M50" s="206" t="s">
        <v>184</v>
      </c>
      <c r="N50" s="28" t="s">
        <v>185</v>
      </c>
      <c r="O50" s="64"/>
      <c r="P50" s="66"/>
      <c r="Q50" s="63" t="s">
        <v>35</v>
      </c>
      <c r="R50" s="206" t="s">
        <v>184</v>
      </c>
      <c r="S50" s="28" t="s">
        <v>185</v>
      </c>
      <c r="T50" s="64"/>
    </row>
    <row r="51" spans="1:31" ht="19.95" customHeight="1" x14ac:dyDescent="0.65">
      <c r="A51" s="66"/>
      <c r="B51" s="207" t="s">
        <v>113</v>
      </c>
      <c r="C51" s="205">
        <f>Opening</f>
        <v>0.41666666666666669</v>
      </c>
      <c r="D51" s="29">
        <f>C51+TIME(0,25,0)</f>
        <v>0.43402777777777779</v>
      </c>
      <c r="E51" s="74"/>
      <c r="F51" s="66"/>
      <c r="G51" s="207" t="s">
        <v>113</v>
      </c>
      <c r="H51" s="205">
        <f>Opening</f>
        <v>0.41666666666666669</v>
      </c>
      <c r="I51" s="29">
        <f>H51+TIME(0,25,0)</f>
        <v>0.43402777777777779</v>
      </c>
      <c r="J51" s="74"/>
      <c r="K51" s="66"/>
      <c r="L51" s="207" t="s">
        <v>113</v>
      </c>
      <c r="M51" s="205">
        <f>Opening</f>
        <v>0.41666666666666669</v>
      </c>
      <c r="N51" s="29">
        <f>M51+TIME(0,25,0)</f>
        <v>0.43402777777777779</v>
      </c>
      <c r="O51" s="74"/>
      <c r="P51" s="66"/>
      <c r="Q51" s="207" t="s">
        <v>113</v>
      </c>
      <c r="R51" s="205">
        <f>Opening</f>
        <v>0.41666666666666669</v>
      </c>
      <c r="S51" s="29">
        <f>R51+TIME(0,25,0)</f>
        <v>0.43402777777777779</v>
      </c>
      <c r="T51" s="74"/>
    </row>
    <row r="52" spans="1:31" ht="19.95" customHeight="1" x14ac:dyDescent="0.65">
      <c r="A52" s="66"/>
      <c r="B52" s="30" t="str">
        <f>CONCATENATE(" חדר שיפוט ",_xlfn.XLOOKUP(B43,TeamList[מס"ד],TeamList[חדר שיפוט]))</f>
        <v xml:space="preserve"> חדר שיפוט 3 אדום</v>
      </c>
      <c r="C52" s="204">
        <f>_xlfn.XLOOKUP(B43,TimeTable[מס"ד],TimeTable[שעת שיפוט])</f>
        <v>0.36458333333333331</v>
      </c>
      <c r="D52" s="31">
        <f>C52+JS</f>
        <v>0.3833333333333333</v>
      </c>
      <c r="E52" s="75"/>
      <c r="F52" s="66"/>
      <c r="G52" s="30" t="str">
        <f>CONCATENATE(" חדר שיפוט ",_xlfn.XLOOKUP(G43,TeamList[מס"ד],TeamList[חדר שיפוט]))</f>
        <v xml:space="preserve"> חדר שיפוט 3 אדום</v>
      </c>
      <c r="H52" s="204">
        <f>_xlfn.XLOOKUP(G43,TimeTable[מס"ד],TimeTable[שעת שיפוט])</f>
        <v>0.4375</v>
      </c>
      <c r="I52" s="31">
        <f>H52+JS</f>
        <v>0.45624999999999999</v>
      </c>
      <c r="J52" s="75"/>
      <c r="K52" s="66"/>
      <c r="L52" s="30" t="str">
        <f>CONCATENATE(" חדר שיפוט ",_xlfn.XLOOKUP(L43,TeamList[מס"ד],TeamList[חדר שיפוט]))</f>
        <v xml:space="preserve"> חדר שיפוט 3 אדום</v>
      </c>
      <c r="M52" s="204">
        <f>_xlfn.XLOOKUP(L43,TimeTable[מס"ד],TimeTable[שעת שיפוט])</f>
        <v>0.5</v>
      </c>
      <c r="N52" s="31">
        <f>M52+JS</f>
        <v>0.51875000000000004</v>
      </c>
      <c r="O52" s="75"/>
      <c r="P52" s="66"/>
      <c r="Q52" s="30" t="str">
        <f>CONCATENATE(" חדר שיפוט ",_xlfn.XLOOKUP(Q43,TeamList[מס"ד],TeamList[חדר שיפוט]))</f>
        <v xml:space="preserve"> חדר שיפוט 3 אדום</v>
      </c>
      <c r="R52" s="204">
        <f>_xlfn.XLOOKUP(Q43,TimeTable[מס"ד],TimeTable[שעת שיפוט])</f>
        <v>0.59374999999999989</v>
      </c>
      <c r="S52" s="31">
        <f>R52+JS</f>
        <v>0.61249999999999993</v>
      </c>
      <c r="T52" s="75"/>
    </row>
    <row r="53" spans="1:31" ht="19.95" customHeight="1" x14ac:dyDescent="0.65">
      <c r="A53" s="77" t="str">
        <f>_xlfn.XLOOKUP(B43,TimeTable[מס"ד],TimeTable[שולחן הרצת אימון])</f>
        <v>1 אדום</v>
      </c>
      <c r="B53" s="30" t="str">
        <f>" מקצה אימונים - שולחן "&amp;A53&amp;" כניסה "&amp;IF(COUNTIF('תכנית לפי קבוצות'!$AA$3:$AA$6,A53)&gt;0,"א'","ב'")</f>
        <v xml:space="preserve"> מקצה אימונים - שולחן 1 אדום כניסה א'</v>
      </c>
      <c r="C53" s="204">
        <f>_xlfn.XLOOKUP(B43,TimeTable[מס"ד],TimeTable[שעת הרצת אימון])</f>
        <v>0.40624999999999994</v>
      </c>
      <c r="D53" s="31">
        <f>C53+TIME(0,3,0)</f>
        <v>0.40833333333333327</v>
      </c>
      <c r="E53" s="76"/>
      <c r="F53" s="77" t="str">
        <f>_xlfn.XLOOKUP(G43,TimeTable[מס"ד],TimeTable[שולחן הרצת אימון])</f>
        <v>3 אדום</v>
      </c>
      <c r="G53" s="30" t="str">
        <f>" מקצה אימונים - שולחן "&amp;F53&amp;" כניסה "&amp;IF(COUNTIF('תכנית לפי קבוצות'!$AA$3:$AA$6,F53)&gt;0,"א'","ב'")</f>
        <v xml:space="preserve"> מקצה אימונים - שולחן 3 אדום כניסה א'</v>
      </c>
      <c r="H53" s="204">
        <f>_xlfn.XLOOKUP(G43,TimeTable[מס"ד],TimeTable[שעת הרצת אימון])</f>
        <v>0.36458333333333331</v>
      </c>
      <c r="I53" s="31">
        <f>H53+TIME(0,3,0)</f>
        <v>0.36666666666666664</v>
      </c>
      <c r="J53" s="76"/>
      <c r="K53" s="77" t="str">
        <f>_xlfn.XLOOKUP(L43,TimeTable[מס"ד],TimeTable[שולחן הרצת אימון])</f>
        <v>2 אדום</v>
      </c>
      <c r="L53" s="30" t="str">
        <f>" מקצה אימונים - שולחן "&amp;K53&amp;" כניסה "&amp;IF(COUNTIF('תכנית לפי קבוצות'!$AA$3:$AA$6,K53)&gt;0,"א'","ב'")</f>
        <v xml:space="preserve"> מקצה אימונים - שולחן 2 אדום כניסה א'</v>
      </c>
      <c r="M53" s="204">
        <f>_xlfn.XLOOKUP(L43,TimeTable[מס"ד],TimeTable[שעת הרצת אימון])</f>
        <v>0.38958333333333328</v>
      </c>
      <c r="N53" s="31">
        <f>M53+TIME(0,3,0)</f>
        <v>0.39166666666666661</v>
      </c>
      <c r="O53" s="76"/>
      <c r="P53" s="77" t="str">
        <f>_xlfn.XLOOKUP(Q43,TimeTable[מס"ד],TimeTable[שולחן הרצת אימון])</f>
        <v>4 אדום</v>
      </c>
      <c r="Q53" s="30" t="str">
        <f>" מקצה אימונים - שולחן "&amp;P53&amp;" כניסה "&amp;IF(COUNTIF('תכנית לפי קבוצות'!$AA$3:$AA$6,P53)&gt;0,"א'","ב'")</f>
        <v xml:space="preserve"> מקצה אימונים - שולחן 4 אדום כניסה א'</v>
      </c>
      <c r="R53" s="204">
        <f>_xlfn.XLOOKUP(Q43,TimeTable[מס"ד],TimeTable[שעת הרצת אימון])</f>
        <v>0.39791666666666659</v>
      </c>
      <c r="S53" s="31">
        <f>R53+TIME(0,3,0)</f>
        <v>0.39999999999999991</v>
      </c>
      <c r="T53" s="76"/>
    </row>
    <row r="54" spans="1:31" ht="19.95" customHeight="1" x14ac:dyDescent="0.65">
      <c r="A54" s="66" t="str">
        <f>_xlfn.XLOOKUP(B43,TimeTable[מס"ד],TimeTable[שולחן הרצה 1])</f>
        <v>4 אדום</v>
      </c>
      <c r="B54" s="30" t="str">
        <f>" מקצה 1 - שולחן "&amp;A54&amp;" כניסה "&amp;IF(COUNTIF('תכנית לפי קבוצות'!$AA$3:$AA$6,A54)&gt;0,"א'","ב'")</f>
        <v xml:space="preserve"> מקצה 1 - שולחן 4 אדום כניסה א'</v>
      </c>
      <c r="C54" s="204">
        <f>_xlfn.XLOOKUP(B43,TimeTable[מס"ד],TimeTable[שעת הרצה 1])</f>
        <v>0.44791666666666635</v>
      </c>
      <c r="D54" s="31">
        <f t="shared" ref="D54:D56" si="16">C54+TIME(0,3,0)</f>
        <v>0.44999999999999968</v>
      </c>
      <c r="E54" s="76"/>
      <c r="F54" s="66" t="str">
        <f>_xlfn.XLOOKUP(G43,TimeTable[מס"ד],TimeTable[שולחן הרצה 1])</f>
        <v>8 אדום</v>
      </c>
      <c r="G54" s="30" t="str">
        <f>" מקצה 1 - שולחן "&amp;F54&amp;" כניסה "&amp;IF(COUNTIF('תכנית לפי קבוצות'!$AA$3:$AA$6,F54)&gt;0,"א'","ב'")</f>
        <v xml:space="preserve"> מקצה 1 - שולחן 8 אדום כניסה ב'</v>
      </c>
      <c r="H54" s="204">
        <f>_xlfn.XLOOKUP(G43,TimeTable[מס"ד],TimeTable[שעת הרצה 1])</f>
        <v>0.47916666666666624</v>
      </c>
      <c r="I54" s="31">
        <f t="shared" ref="I54:I56" si="17">H54+TIME(0,3,0)</f>
        <v>0.48124999999999957</v>
      </c>
      <c r="J54" s="76"/>
      <c r="K54" s="66" t="str">
        <f>_xlfn.XLOOKUP(L43,TimeTable[מס"ד],TimeTable[שולחן הרצה 1])</f>
        <v>2 אדום</v>
      </c>
      <c r="L54" s="30" t="str">
        <f>" מקצה 1 - שולחן "&amp;K54&amp;" כניסה "&amp;IF(COUNTIF('תכנית לפי קבוצות'!$AA$3:$AA$6,K54)&gt;0,"א'","ב'")</f>
        <v xml:space="preserve"> מקצה 1 - שולחן 2 אדום כניסה א'</v>
      </c>
      <c r="M54" s="204">
        <f>_xlfn.XLOOKUP(L43,TimeTable[מס"ד],TimeTable[שעת הרצה 1])</f>
        <v>0.44791666666666635</v>
      </c>
      <c r="N54" s="31">
        <f t="shared" ref="N54:N56" si="18">M54+TIME(0,3,0)</f>
        <v>0.44999999999999968</v>
      </c>
      <c r="O54" s="76"/>
      <c r="P54" s="66" t="str">
        <f>_xlfn.XLOOKUP(Q43,TimeTable[מס"ד],TimeTable[שולחן הרצה 1])</f>
        <v>1 אדום</v>
      </c>
      <c r="Q54" s="30" t="str">
        <f>" מקצה 1 - שולחן "&amp;P54&amp;" כניסה "&amp;IF(COUNTIF('תכנית לפי קבוצות'!$AA$3:$AA$6,P54)&gt;0,"א'","ב'")</f>
        <v xml:space="preserve"> מקצה 1 - שולחן 1 אדום כניסה א'</v>
      </c>
      <c r="R54" s="204">
        <f>_xlfn.XLOOKUP(Q43,TimeTable[מס"ד],TimeTable[שעת הרצה 1])</f>
        <v>0.46874999999999961</v>
      </c>
      <c r="S54" s="31">
        <f t="shared" ref="S54:S56" si="19">R54+TIME(0,3,0)</f>
        <v>0.47083333333333294</v>
      </c>
      <c r="T54" s="76"/>
    </row>
    <row r="55" spans="1:31" ht="19.95" customHeight="1" x14ac:dyDescent="0.65">
      <c r="A55" s="66" t="str">
        <f>_xlfn.XLOOKUP(B43,TimeTable[מס"ד],TimeTable[שולחן הרצה 2])</f>
        <v>4 אדום</v>
      </c>
      <c r="B55" s="30" t="str">
        <f>" מקצה 2 - שולחן "&amp;A55&amp;" כניסה "&amp;IF(COUNTIF('תכנית לפי קבוצות'!$AA$3:$AA$6,A55)&gt;0,"א'","ב'")</f>
        <v xml:space="preserve"> מקצה 2 - שולחן 4 אדום כניסה א'</v>
      </c>
      <c r="C55" s="204">
        <f>_xlfn.XLOOKUP(B43,TimeTable[מס"ד],TimeTable[שעת הרצה 2])</f>
        <v>0.52083333333333282</v>
      </c>
      <c r="D55" s="31">
        <f t="shared" si="16"/>
        <v>0.52291666666666614</v>
      </c>
      <c r="E55" s="76"/>
      <c r="F55" s="66" t="str">
        <f>_xlfn.XLOOKUP(G43,TimeTable[מס"ד],TimeTable[שולחן הרצה 2])</f>
        <v>3 אדום</v>
      </c>
      <c r="G55" s="30" t="str">
        <f>" מקצה 2 - שולחן "&amp;F55&amp;" כניסה "&amp;IF(COUNTIF('תכנית לפי קבוצות'!$AA$3:$AA$6,F55)&gt;0,"א'","ב'")</f>
        <v xml:space="preserve"> מקצה 2 - שולחן 3 אדום כניסה א'</v>
      </c>
      <c r="H55" s="204">
        <f>_xlfn.XLOOKUP(G43,TimeTable[מס"ד],TimeTable[שעת הרצה 2])</f>
        <v>0.52777777777777724</v>
      </c>
      <c r="I55" s="31">
        <f t="shared" si="17"/>
        <v>0.52986111111111056</v>
      </c>
      <c r="J55" s="76"/>
      <c r="K55" s="66" t="str">
        <f>_xlfn.XLOOKUP(L43,TimeTable[מס"ד],TimeTable[שולחן הרצה 2])</f>
        <v>6 אדום</v>
      </c>
      <c r="L55" s="30" t="str">
        <f>" מקצה 2 - שולחן "&amp;K55&amp;" כניסה "&amp;IF(COUNTIF('תכנית לפי קבוצות'!$AA$3:$AA$6,K55)&gt;0,"א'","ב'")</f>
        <v xml:space="preserve"> מקצה 2 - שולחן 6 אדום כניסה ב'</v>
      </c>
      <c r="M55" s="204">
        <f>_xlfn.XLOOKUP(L43,TimeTable[מס"ד],TimeTable[שעת הרצה 2])</f>
        <v>0.54513888888888828</v>
      </c>
      <c r="N55" s="31">
        <f t="shared" si="18"/>
        <v>0.54722222222222161</v>
      </c>
      <c r="O55" s="76"/>
      <c r="P55" s="66" t="str">
        <f>_xlfn.XLOOKUP(Q43,TimeTable[מס"ד],TimeTable[שולחן הרצה 2])</f>
        <v>1 אדום</v>
      </c>
      <c r="Q55" s="30" t="str">
        <f>" מקצה 2 - שולחן "&amp;P55&amp;" כניסה "&amp;IF(COUNTIF('תכנית לפי קבוצות'!$AA$3:$AA$6,P55)&gt;0,"א'","ב'")</f>
        <v xml:space="preserve"> מקצה 2 - שולחן 1 אדום כניסה א'</v>
      </c>
      <c r="R55" s="204">
        <f>_xlfn.XLOOKUP(Q43,TimeTable[מס"ד],TimeTable[שעת הרצה 2])</f>
        <v>0.53472222222222165</v>
      </c>
      <c r="S55" s="31">
        <f t="shared" si="19"/>
        <v>0.53680555555555498</v>
      </c>
      <c r="T55" s="76"/>
    </row>
    <row r="56" spans="1:31" ht="19.95" customHeight="1" x14ac:dyDescent="0.65">
      <c r="A56" s="66" t="str">
        <f>_xlfn.XLOOKUP(B43,TimeTable[מס"ד],TimeTable[שולחן הרצה 3])</f>
        <v>4 אדום</v>
      </c>
      <c r="B56" s="30" t="str">
        <f>" מקצה 3 - שולחן "&amp;A56&amp;" כניסה "&amp;IF(COUNTIF('תכנית לפי קבוצות'!$AA$3:$AA$6,A56)&gt;0,"א'","ב'")</f>
        <v xml:space="preserve"> מקצה 3 - שולחן 4 אדום כניסה א'</v>
      </c>
      <c r="C56" s="204">
        <f>_xlfn.XLOOKUP(B43,TimeTable[מס"ד],TimeTable[שעת הרצה 3])</f>
        <v>0.59027777777777701</v>
      </c>
      <c r="D56" s="31">
        <f t="shared" si="16"/>
        <v>0.59236111111111034</v>
      </c>
      <c r="E56" s="76"/>
      <c r="F56" s="66" t="str">
        <f>_xlfn.XLOOKUP(G43,TimeTable[מס"ד],TimeTable[שולחן הרצה 3])</f>
        <v>2 אדום</v>
      </c>
      <c r="G56" s="30" t="str">
        <f>" מקצה 3 - שולחן "&amp;F56&amp;" כניסה "&amp;IF(COUNTIF('תכנית לפי קבוצות'!$AA$3:$AA$6,F56)&gt;0,"א'","ב'")</f>
        <v xml:space="preserve"> מקצה 3 - שולחן 2 אדום כניסה א'</v>
      </c>
      <c r="H56" s="204">
        <f>_xlfn.XLOOKUP(G43,TimeTable[מס"ד],TimeTable[שעת הרצה 3])</f>
        <v>0.60416666666666585</v>
      </c>
      <c r="I56" s="31">
        <f t="shared" si="17"/>
        <v>0.60624999999999918</v>
      </c>
      <c r="J56" s="76"/>
      <c r="K56" s="66" t="str">
        <f>_xlfn.XLOOKUP(L43,TimeTable[מס"ד],TimeTable[שולחן הרצה 3])</f>
        <v>8 אדום</v>
      </c>
      <c r="L56" s="30" t="str">
        <f>" מקצה 3 - שולחן "&amp;K56&amp;" כניסה "&amp;IF(COUNTIF('תכנית לפי קבוצות'!$AA$3:$AA$6,K56)&gt;0,"א'","ב'")</f>
        <v xml:space="preserve"> מקצה 3 - שולחן 8 אדום כניסה ב'</v>
      </c>
      <c r="M56" s="204">
        <f>_xlfn.XLOOKUP(L43,TimeTable[מס"ד],TimeTable[שעת הרצה 3])</f>
        <v>0.61458333333333248</v>
      </c>
      <c r="N56" s="31">
        <f t="shared" si="18"/>
        <v>0.61666666666666581</v>
      </c>
      <c r="O56" s="76"/>
      <c r="P56" s="66" t="str">
        <f>_xlfn.XLOOKUP(Q43,TimeTable[מס"ד],TimeTable[שולחן הרצה 3])</f>
        <v>6 אדום</v>
      </c>
      <c r="Q56" s="30" t="str">
        <f>" מקצה 3 - שולחן "&amp;P56&amp;" כניסה "&amp;IF(COUNTIF('תכנית לפי קבוצות'!$AA$3:$AA$6,P56)&gt;0,"א'","ב'")</f>
        <v xml:space="preserve"> מקצה 3 - שולחן 6 אדום כניסה ב'</v>
      </c>
      <c r="R56" s="204">
        <f>_xlfn.XLOOKUP(Q43,TimeTable[מס"ד],TimeTable[שעת הרצה 3])</f>
        <v>0.62847222222222132</v>
      </c>
      <c r="S56" s="31">
        <f t="shared" si="19"/>
        <v>0.63055555555555465</v>
      </c>
      <c r="T56" s="76"/>
    </row>
    <row r="57" spans="1:31" s="69" customFormat="1" ht="19.95" customHeight="1" x14ac:dyDescent="0.65">
      <c r="A57" s="203">
        <f>pits+TIME(2,0,0)</f>
        <v>8.3333333333333329E-2</v>
      </c>
      <c r="B57" s="30" t="s">
        <v>192</v>
      </c>
      <c r="C57" s="204"/>
      <c r="D57" s="31"/>
      <c r="E57" s="75"/>
      <c r="F57" s="203">
        <f>pits+TIME(2,0,0)</f>
        <v>8.3333333333333329E-2</v>
      </c>
      <c r="G57" s="30" t="s">
        <v>192</v>
      </c>
      <c r="H57" s="204"/>
      <c r="I57" s="31"/>
      <c r="J57" s="75"/>
      <c r="K57" s="203">
        <f>pits+TIME(2,0,0)</f>
        <v>8.3333333333333329E-2</v>
      </c>
      <c r="L57" s="30" t="s">
        <v>192</v>
      </c>
      <c r="M57" s="204"/>
      <c r="N57" s="31"/>
      <c r="O57" s="75"/>
      <c r="P57" s="203">
        <f>pits+TIME(2,0,0)</f>
        <v>8.3333333333333329E-2</v>
      </c>
      <c r="Q57" s="30" t="s">
        <v>192</v>
      </c>
      <c r="R57" s="204"/>
      <c r="S57" s="31"/>
      <c r="T57" s="75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</row>
    <row r="58" spans="1:31" s="69" customFormat="1" ht="19.95" customHeight="1" x14ac:dyDescent="0.65">
      <c r="A58" s="77" t="str">
        <f>_xlfn.XLOOKUP(B43,TimeTable[מס"ד],TimeTable[שולחן הרצת טורניר])</f>
        <v>1 אדום</v>
      </c>
      <c r="B58" s="30" t="str">
        <f>" טורניר ידידות - שולחן "&amp;A58&amp;" כניסה "&amp;IF(COUNTIF('תכנית לפי קבוצות'!$AA$3:$AA$6,A58)&gt;0,"א'","ב'")&amp;", עם קבוצה "&amp;_xlfn.XLOOKUP(B43,TeamList2[מס"ד],TeamList2[מס'' הקבוצה])</f>
        <v xml:space="preserve"> טורניר ידידות - שולחן 1 אדום כניסה א', עם קבוצה 696</v>
      </c>
      <c r="C58" s="204">
        <f>_xlfn.XLOOKUP(_xlfn.XLOOKUP(B43,TeamList[מס"ד],TeamList[מס'' הקבוצה]),Table135[קבוצה],Table135[שעה])</f>
        <v>0.67361111111111105</v>
      </c>
      <c r="D58" s="31">
        <f t="shared" ref="D58" si="20">C58+TIME(0,3,0)</f>
        <v>0.67569444444444438</v>
      </c>
      <c r="E58" s="75"/>
      <c r="F58" s="77" t="str">
        <f>_xlfn.XLOOKUP(G43,TimeTable[מס"ד],TimeTable[שולחן הרצת טורניר])</f>
        <v>2 אדום</v>
      </c>
      <c r="G58" s="30" t="str">
        <f>" טורניר ידידות - שולחן "&amp;F58&amp;" כניסה "&amp;IF(COUNTIF('תכנית לפי קבוצות'!$AA$3:$AA$6,F58)&gt;0,"א'","ב'")&amp;", עם קבוצה "&amp;_xlfn.XLOOKUP(G43,TeamList2[מס"ד],TeamList2[מס'' הקבוצה])</f>
        <v xml:space="preserve"> טורניר ידידות - שולחן 2 אדום כניסה א', עם קבוצה 3013</v>
      </c>
      <c r="H58" s="204">
        <f>_xlfn.XLOOKUP(_xlfn.XLOOKUP(G43,TeamList[מס"ד],TeamList[מס'' הקבוצה]),Table135[קבוצה],Table135[שעה])</f>
        <v>0.68055555555555547</v>
      </c>
      <c r="I58" s="31">
        <f t="shared" ref="I58" si="21">H58+TIME(0,3,0)</f>
        <v>0.6826388888888888</v>
      </c>
      <c r="J58" s="75"/>
      <c r="K58" s="77" t="str">
        <f>_xlfn.XLOOKUP(L43,TimeTable[מס"ד],TimeTable[שולחן הרצת טורניר])</f>
        <v>3 כחול</v>
      </c>
      <c r="L58" s="30" t="str">
        <f>" טורניר ידידות - שולחן "&amp;K58&amp;" כניסה "&amp;IF(COUNTIF('תכנית לפי קבוצות'!$AA$3:$AA$6,K58)&gt;0,"א'","ב'")&amp;", עם קבוצה "&amp;_xlfn.XLOOKUP(L43,TeamList2[מס"ד],TeamList2[מס'' הקבוצה])</f>
        <v xml:space="preserve"> טורניר ידידות - שולחן 3 כחול כניסה ב', עם קבוצה 888</v>
      </c>
      <c r="M58" s="204">
        <f>_xlfn.XLOOKUP(_xlfn.XLOOKUP(L43,TeamList[מס"ד],TeamList[מס'' הקבוצה]),Table135[קבוצה],Table135[שעה])</f>
        <v>0.66666666666666663</v>
      </c>
      <c r="N58" s="31">
        <f t="shared" ref="N58" si="22">M58+TIME(0,3,0)</f>
        <v>0.66874999999999996</v>
      </c>
      <c r="O58" s="75"/>
      <c r="P58" s="77" t="str">
        <f>_xlfn.XLOOKUP(Q43,TimeTable[מס"ד],TimeTable[שולחן הרצת טורניר])</f>
        <v>4 כחול</v>
      </c>
      <c r="Q58" s="30" t="str">
        <f>" טורניר ידידות - שולחן "&amp;P58&amp;" כניסה "&amp;IF(COUNTIF('תכנית לפי קבוצות'!$AA$3:$AA$6,P58)&gt;0,"א'","ב'")&amp;", עם קבוצה "&amp;_xlfn.XLOOKUP(Q43,TeamList2[מס"ד],TeamList2[מס'' הקבוצה])</f>
        <v xml:space="preserve"> טורניר ידידות - שולחן 4 כחול כניסה ב', עם קבוצה 3318</v>
      </c>
      <c r="R58" s="204">
        <f>_xlfn.XLOOKUP(_xlfn.XLOOKUP(Q43,TeamList[מס"ד],TeamList[מס'' הקבוצה]),Table135[קבוצה],Table135[שעה])</f>
        <v>0.67361111111111105</v>
      </c>
      <c r="S58" s="31">
        <f t="shared" ref="S58" si="23">R58+TIME(0,3,0)</f>
        <v>0.67569444444444438</v>
      </c>
      <c r="T58" s="75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</row>
    <row r="59" spans="1:31" s="69" customFormat="1" ht="19.95" customHeight="1" x14ac:dyDescent="0.65">
      <c r="A59" s="66"/>
      <c r="B59" s="139" t="str">
        <f>" "&amp;'תכנית לפי קבוצות'!$I$91</f>
        <v xml:space="preserve"> מסיבוטיקה</v>
      </c>
      <c r="C59" s="204">
        <f>מסיבוטיקה</f>
        <v>0.69444444444444453</v>
      </c>
      <c r="D59" s="31">
        <f>C60-TIME(0,5,0)</f>
        <v>0.70486111111111094</v>
      </c>
      <c r="E59" s="65"/>
      <c r="F59" s="66"/>
      <c r="G59" s="139" t="str">
        <f>" "&amp;'תכנית לפי קבוצות'!$I$91</f>
        <v xml:space="preserve"> מסיבוטיקה</v>
      </c>
      <c r="H59" s="204">
        <f>מסיבוטיקה</f>
        <v>0.69444444444444453</v>
      </c>
      <c r="I59" s="31">
        <f>H60-TIME(0,5,0)</f>
        <v>0.70486111111111094</v>
      </c>
      <c r="J59" s="65"/>
      <c r="K59" s="66"/>
      <c r="L59" s="139" t="str">
        <f>" "&amp;'תכנית לפי קבוצות'!$I$91</f>
        <v xml:space="preserve"> מסיבוטיקה</v>
      </c>
      <c r="M59" s="204">
        <f>מסיבוטיקה</f>
        <v>0.69444444444444453</v>
      </c>
      <c r="N59" s="31">
        <f>M60-TIME(0,5,0)</f>
        <v>0.70486111111111094</v>
      </c>
      <c r="O59" s="65"/>
      <c r="P59" s="66"/>
      <c r="Q59" s="139" t="str">
        <f>" "&amp;'תכנית לפי קבוצות'!$I$91</f>
        <v xml:space="preserve"> מסיבוטיקה</v>
      </c>
      <c r="R59" s="204">
        <f>מסיבוטיקה</f>
        <v>0.69444444444444453</v>
      </c>
      <c r="S59" s="31">
        <f>R60-TIME(0,5,0)</f>
        <v>0.70486111111111094</v>
      </c>
      <c r="T59" s="65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</row>
    <row r="60" spans="1:31" s="69" customFormat="1" ht="19.95" customHeight="1" thickBot="1" x14ac:dyDescent="0.8">
      <c r="A60" s="66"/>
      <c r="B60" s="70" t="s">
        <v>114</v>
      </c>
      <c r="C60" s="208">
        <f>סיום</f>
        <v>0.70833333333333315</v>
      </c>
      <c r="D60" s="209">
        <f>_xlfn.XLOOKUP(N,break_scheduler['# of teams],break_scheduler[END])</f>
        <v>0.73958333333333315</v>
      </c>
      <c r="E60" s="65"/>
      <c r="F60" s="66"/>
      <c r="G60" s="70" t="s">
        <v>114</v>
      </c>
      <c r="H60" s="208">
        <f>סיום</f>
        <v>0.70833333333333315</v>
      </c>
      <c r="I60" s="209">
        <f>_xlfn.XLOOKUP(N,break_scheduler['# of teams],break_scheduler[END])</f>
        <v>0.73958333333333315</v>
      </c>
      <c r="J60" s="65"/>
      <c r="K60" s="66"/>
      <c r="L60" s="70" t="s">
        <v>114</v>
      </c>
      <c r="M60" s="208">
        <f>סיום</f>
        <v>0.70833333333333315</v>
      </c>
      <c r="N60" s="209">
        <f>_xlfn.XLOOKUP(N,break_scheduler['# of teams],break_scheduler[END])</f>
        <v>0.73958333333333315</v>
      </c>
      <c r="O60" s="65"/>
      <c r="P60" s="66"/>
      <c r="Q60" s="70" t="s">
        <v>114</v>
      </c>
      <c r="R60" s="208">
        <f>סיום</f>
        <v>0.70833333333333315</v>
      </c>
      <c r="S60" s="209">
        <f>_xlfn.XLOOKUP(N,break_scheduler['# of teams],break_scheduler[END])</f>
        <v>0.73958333333333315</v>
      </c>
      <c r="T60" s="65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</row>
    <row r="61" spans="1:31" s="69" customFormat="1" ht="43.9" customHeight="1" x14ac:dyDescent="0.65">
      <c r="A61" s="210" t="s">
        <v>186</v>
      </c>
      <c r="B61" s="62"/>
      <c r="C61" s="62"/>
      <c r="D61" s="62"/>
      <c r="E61" s="62"/>
      <c r="F61" s="210" t="s">
        <v>186</v>
      </c>
      <c r="G61" s="62"/>
      <c r="H61" s="62"/>
      <c r="I61" s="62"/>
      <c r="J61" s="62"/>
      <c r="K61" s="210" t="s">
        <v>186</v>
      </c>
      <c r="L61" s="62"/>
      <c r="M61" s="62"/>
      <c r="N61" s="62"/>
      <c r="O61" s="62"/>
      <c r="P61" s="210" t="s">
        <v>186</v>
      </c>
      <c r="Q61" s="62"/>
      <c r="R61" s="62"/>
      <c r="S61" s="62"/>
      <c r="T61" s="62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</row>
    <row r="62" spans="1:31" s="69" customFormat="1" ht="19.95" customHeight="1" x14ac:dyDescent="0.65">
      <c r="A62" s="278" t="s">
        <v>187</v>
      </c>
      <c r="B62" s="278"/>
      <c r="C62" s="278"/>
      <c r="D62" s="278"/>
      <c r="E62" s="278"/>
      <c r="F62" s="278" t="s">
        <v>187</v>
      </c>
      <c r="G62" s="278"/>
      <c r="H62" s="278"/>
      <c r="I62" s="278"/>
      <c r="J62" s="278"/>
      <c r="K62" s="278" t="s">
        <v>187</v>
      </c>
      <c r="L62" s="278"/>
      <c r="M62" s="278"/>
      <c r="N62" s="278"/>
      <c r="O62" s="278"/>
      <c r="P62" s="278" t="s">
        <v>187</v>
      </c>
      <c r="Q62" s="278"/>
      <c r="R62" s="278"/>
      <c r="S62" s="278"/>
      <c r="T62" s="278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</row>
    <row r="63" spans="1:31" s="69" customFormat="1" ht="19.95" customHeight="1" x14ac:dyDescent="0.65">
      <c r="A63" s="279" t="s">
        <v>37</v>
      </c>
      <c r="B63" s="279"/>
      <c r="C63" s="279"/>
      <c r="D63" s="279"/>
      <c r="E63" s="279"/>
      <c r="F63" s="279" t="s">
        <v>37</v>
      </c>
      <c r="G63" s="279"/>
      <c r="H63" s="279"/>
      <c r="I63" s="279"/>
      <c r="J63" s="279"/>
      <c r="K63" s="279" t="s">
        <v>37</v>
      </c>
      <c r="L63" s="279"/>
      <c r="M63" s="279"/>
      <c r="N63" s="279"/>
      <c r="O63" s="279"/>
      <c r="P63" s="279" t="s">
        <v>37</v>
      </c>
      <c r="Q63" s="279"/>
      <c r="R63" s="279"/>
      <c r="S63" s="279"/>
      <c r="T63" s="279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</row>
    <row r="64" spans="1:31" ht="19.95" customHeight="1" x14ac:dyDescent="0.65">
      <c r="B64" s="67">
        <f>B43+1</f>
        <v>4</v>
      </c>
      <c r="G64" s="67">
        <f>G43+1</f>
        <v>18</v>
      </c>
      <c r="L64" s="67">
        <f>L43+1</f>
        <v>32</v>
      </c>
      <c r="Q64" s="67">
        <f>Q43+1</f>
        <v>46</v>
      </c>
    </row>
    <row r="65" spans="1:31" ht="19.95" customHeight="1" x14ac:dyDescent="0.65"/>
    <row r="66" spans="1:31" ht="19.95" customHeight="1" x14ac:dyDescent="0.65"/>
    <row r="67" spans="1:31" ht="19.95" customHeight="1" x14ac:dyDescent="0.65"/>
    <row r="68" spans="1:31" ht="19.95" customHeight="1" x14ac:dyDescent="0.65"/>
    <row r="69" spans="1:31" ht="19.95" customHeight="1" thickBot="1" x14ac:dyDescent="0.8"/>
    <row r="70" spans="1:31" ht="19.95" customHeight="1" thickBot="1" x14ac:dyDescent="0.8">
      <c r="A70" s="66"/>
      <c r="B70" s="275" t="str">
        <f>_xlfn.XLOOKUP(B64,TeamList[מס"ד],TeamList[מס'' הקבוצה])&amp;" "&amp;_xlfn.XLOOKUP(B64,TeamList[מס"ד],TeamList[שם הקבוצה])&amp;" "&amp;_xlfn.XLOOKUP(B64,TeamList[מס"ד],TeamList[ישוב])</f>
        <v>1825 אילן רמון כפר סבא</v>
      </c>
      <c r="C70" s="276"/>
      <c r="D70" s="277"/>
      <c r="E70" s="64"/>
      <c r="F70" s="66"/>
      <c r="G70" s="275" t="str">
        <f>_xlfn.XLOOKUP(G64,TeamList[מס"ד],TeamList[מס'' הקבוצה])&amp;" "&amp;_xlfn.XLOOKUP(G64,TeamList[מס"ד],TeamList[שם הקבוצה])&amp;" "&amp;_xlfn.XLOOKUP(G64,TeamList[מס"ד],TeamList[ישוב])</f>
        <v>1043 עתיד כרמים בנימינה-גבעת עדה</v>
      </c>
      <c r="H70" s="276"/>
      <c r="I70" s="277"/>
      <c r="J70" s="64"/>
      <c r="K70" s="66"/>
      <c r="L70" s="275" t="str">
        <f>_xlfn.XLOOKUP(L64,TeamList[מס"ד],TeamList[מס'' הקבוצה])&amp;" "&amp;_xlfn.XLOOKUP(L64,TeamList[מס"ד],TeamList[שם הקבוצה])&amp;" "&amp;_xlfn.XLOOKUP(L64,TeamList[מס"ד],TeamList[ישוב])</f>
        <v>3182 בנים ירושלים</v>
      </c>
      <c r="M70" s="276"/>
      <c r="N70" s="277"/>
      <c r="O70" s="64"/>
      <c r="P70" s="66"/>
      <c r="Q70" s="275" t="str">
        <f>_xlfn.XLOOKUP(Q64,TeamList[מס"ד],TeamList[מס'' הקבוצה])&amp;" "&amp;_xlfn.XLOOKUP(Q64,TeamList[מס"ד],TeamList[שם הקבוצה])&amp;" "&amp;_xlfn.XLOOKUP(Q64,TeamList[מס"ד],TeamList[ישוב])</f>
        <v>2130 צודות  קרית שמונה</v>
      </c>
      <c r="R70" s="276"/>
      <c r="S70" s="277"/>
      <c r="T70" s="64"/>
    </row>
    <row r="71" spans="1:31" ht="19.95" customHeight="1" thickBot="1" x14ac:dyDescent="0.8">
      <c r="A71" s="66"/>
      <c r="B71" s="63" t="s">
        <v>35</v>
      </c>
      <c r="C71" s="206" t="s">
        <v>184</v>
      </c>
      <c r="D71" s="28" t="s">
        <v>185</v>
      </c>
      <c r="E71" s="64"/>
      <c r="F71" s="66"/>
      <c r="G71" s="63" t="s">
        <v>35</v>
      </c>
      <c r="H71" s="206" t="s">
        <v>184</v>
      </c>
      <c r="I71" s="28" t="s">
        <v>185</v>
      </c>
      <c r="J71" s="64"/>
      <c r="K71" s="66"/>
      <c r="L71" s="63" t="s">
        <v>35</v>
      </c>
      <c r="M71" s="206" t="s">
        <v>184</v>
      </c>
      <c r="N71" s="28" t="s">
        <v>185</v>
      </c>
      <c r="O71" s="64"/>
      <c r="P71" s="66"/>
      <c r="Q71" s="63" t="s">
        <v>35</v>
      </c>
      <c r="R71" s="206" t="s">
        <v>184</v>
      </c>
      <c r="S71" s="28" t="s">
        <v>185</v>
      </c>
      <c r="T71" s="64"/>
    </row>
    <row r="72" spans="1:31" ht="19.95" customHeight="1" x14ac:dyDescent="0.65">
      <c r="A72" s="66"/>
      <c r="B72" s="207" t="s">
        <v>113</v>
      </c>
      <c r="C72" s="205">
        <f>Opening</f>
        <v>0.41666666666666669</v>
      </c>
      <c r="D72" s="29">
        <f>C72+TIME(0,25,0)</f>
        <v>0.43402777777777779</v>
      </c>
      <c r="E72" s="74"/>
      <c r="F72" s="66"/>
      <c r="G72" s="207" t="s">
        <v>113</v>
      </c>
      <c r="H72" s="205">
        <f>Opening</f>
        <v>0.41666666666666669</v>
      </c>
      <c r="I72" s="29">
        <f>H72+TIME(0,25,0)</f>
        <v>0.43402777777777779</v>
      </c>
      <c r="J72" s="74"/>
      <c r="K72" s="66"/>
      <c r="L72" s="207" t="s">
        <v>113</v>
      </c>
      <c r="M72" s="205">
        <f>Opening</f>
        <v>0.41666666666666669</v>
      </c>
      <c r="N72" s="29">
        <f>M72+TIME(0,25,0)</f>
        <v>0.43402777777777779</v>
      </c>
      <c r="O72" s="74"/>
      <c r="P72" s="66"/>
      <c r="Q72" s="207" t="s">
        <v>113</v>
      </c>
      <c r="R72" s="205">
        <f>Opening</f>
        <v>0.41666666666666669</v>
      </c>
      <c r="S72" s="29">
        <f>R72+TIME(0,25,0)</f>
        <v>0.43402777777777779</v>
      </c>
      <c r="T72" s="74"/>
    </row>
    <row r="73" spans="1:31" ht="19.95" customHeight="1" x14ac:dyDescent="0.65">
      <c r="A73" s="66"/>
      <c r="B73" s="30" t="str">
        <f>CONCATENATE(" חדר שיפוט ",_xlfn.XLOOKUP(B64,TeamList[מס"ד],TeamList[חדר שיפוט]))</f>
        <v xml:space="preserve"> חדר שיפוט 4 אדום</v>
      </c>
      <c r="C73" s="204">
        <f>_xlfn.XLOOKUP(B64,TimeTable[מס"ד],TimeTable[שעת שיפוט])</f>
        <v>0.36458333333333331</v>
      </c>
      <c r="D73" s="31">
        <f>C73+JS</f>
        <v>0.3833333333333333</v>
      </c>
      <c r="E73" s="75"/>
      <c r="F73" s="66"/>
      <c r="G73" s="30" t="str">
        <f>CONCATENATE(" חדר שיפוט ",_xlfn.XLOOKUP(G64,TeamList[מס"ד],TeamList[חדר שיפוט]))</f>
        <v xml:space="preserve"> חדר שיפוט 4 אדום</v>
      </c>
      <c r="H73" s="204">
        <f>_xlfn.XLOOKUP(G64,TimeTable[מס"ד],TimeTable[שעת שיפוט])</f>
        <v>0.4375</v>
      </c>
      <c r="I73" s="31">
        <f>H73+JS</f>
        <v>0.45624999999999999</v>
      </c>
      <c r="J73" s="75"/>
      <c r="K73" s="66"/>
      <c r="L73" s="30" t="str">
        <f>CONCATENATE(" חדר שיפוט ",_xlfn.XLOOKUP(L64,TeamList[מס"ד],TeamList[חדר שיפוט]))</f>
        <v xml:space="preserve"> חדר שיפוט 4 אדום</v>
      </c>
      <c r="M73" s="204">
        <f>_xlfn.XLOOKUP(L64,TimeTable[מס"ד],TimeTable[שעת שיפוט])</f>
        <v>0.5</v>
      </c>
      <c r="N73" s="31">
        <f>M73+JS</f>
        <v>0.51875000000000004</v>
      </c>
      <c r="O73" s="75"/>
      <c r="P73" s="66"/>
      <c r="Q73" s="30" t="str">
        <f>CONCATENATE(" חדר שיפוט ",_xlfn.XLOOKUP(Q64,TeamList[מס"ד],TeamList[חדר שיפוט]))</f>
        <v xml:space="preserve"> חדר שיפוט 4 אדום</v>
      </c>
      <c r="R73" s="204">
        <f>_xlfn.XLOOKUP(Q64,TimeTable[מס"ד],TimeTable[שעת שיפוט])</f>
        <v>0.59374999999999989</v>
      </c>
      <c r="S73" s="31">
        <f>R73+JS</f>
        <v>0.61249999999999993</v>
      </c>
      <c r="T73" s="75"/>
    </row>
    <row r="74" spans="1:31" ht="19.95" customHeight="1" x14ac:dyDescent="0.65">
      <c r="A74" s="77" t="str">
        <f>_xlfn.XLOOKUP(B64,TimeTable[מס"ד],TimeTable[שולחן הרצת אימון])</f>
        <v>5 אדום</v>
      </c>
      <c r="B74" s="30" t="str">
        <f>" מקצה אימונים - שולחן "&amp;A74&amp;" כניסה "&amp;IF(COUNTIF('תכנית לפי קבוצות'!$AA$3:$AA$6,A74)&gt;0,"א'","ב'")</f>
        <v xml:space="preserve"> מקצה אימונים - שולחן 5 אדום כניסה ב'</v>
      </c>
      <c r="C74" s="204">
        <f>_xlfn.XLOOKUP(B64,TimeTable[מס"ד],TimeTable[שעת הרצת אימון])</f>
        <v>0.4104166666666666</v>
      </c>
      <c r="D74" s="31">
        <f>C74+TIME(0,3,0)</f>
        <v>0.41249999999999992</v>
      </c>
      <c r="E74" s="76"/>
      <c r="F74" s="77" t="str">
        <f>_xlfn.XLOOKUP(G64,TimeTable[מס"ד],TimeTable[שולחן הרצת אימון])</f>
        <v>7 אדום</v>
      </c>
      <c r="G74" s="30" t="str">
        <f>" מקצה אימונים - שולחן "&amp;F74&amp;" כניסה "&amp;IF(COUNTIF('תכנית לפי קבוצות'!$AA$3:$AA$6,F74)&gt;0,"א'","ב'")</f>
        <v xml:space="preserve"> מקצה אימונים - שולחן 7 אדום כניסה ב'</v>
      </c>
      <c r="H74" s="204">
        <f>_xlfn.XLOOKUP(G64,TimeTable[מס"ד],TimeTable[שעת הרצת אימון])</f>
        <v>0.36874999999999997</v>
      </c>
      <c r="I74" s="31">
        <f>H74+TIME(0,3,0)</f>
        <v>0.37083333333333329</v>
      </c>
      <c r="J74" s="76"/>
      <c r="K74" s="77" t="str">
        <f>_xlfn.XLOOKUP(L64,TimeTable[מס"ד],TimeTable[שולחן הרצת אימון])</f>
        <v>6 אדום</v>
      </c>
      <c r="L74" s="30" t="str">
        <f>" מקצה אימונים - שולחן "&amp;K74&amp;" כניסה "&amp;IF(COUNTIF('תכנית לפי קבוצות'!$AA$3:$AA$6,K74)&gt;0,"א'","ב'")</f>
        <v xml:space="preserve"> מקצה אימונים - שולחן 6 אדום כניסה ב'</v>
      </c>
      <c r="M74" s="204">
        <f>_xlfn.XLOOKUP(L64,TimeTable[מס"ד],TimeTable[שעת הרצת אימון])</f>
        <v>0.39374999999999993</v>
      </c>
      <c r="N74" s="31">
        <f>M74+TIME(0,3,0)</f>
        <v>0.39583333333333326</v>
      </c>
      <c r="O74" s="76"/>
      <c r="P74" s="77" t="str">
        <f>_xlfn.XLOOKUP(Q64,TimeTable[מס"ד],TimeTable[שולחן הרצת אימון])</f>
        <v>8 אדום</v>
      </c>
      <c r="Q74" s="30" t="str">
        <f>" מקצה אימונים - שולחן "&amp;P74&amp;" כניסה "&amp;IF(COUNTIF('תכנית לפי קבוצות'!$AA$3:$AA$6,P74)&gt;0,"א'","ב'")</f>
        <v xml:space="preserve"> מקצה אימונים - שולחן 8 אדום כניסה ב'</v>
      </c>
      <c r="R74" s="204">
        <f>_xlfn.XLOOKUP(Q64,TimeTable[מס"ד],TimeTable[שעת הרצת אימון])</f>
        <v>0.40208333333333324</v>
      </c>
      <c r="S74" s="31">
        <f>R74+TIME(0,3,0)</f>
        <v>0.40416666666666656</v>
      </c>
      <c r="T74" s="76"/>
    </row>
    <row r="75" spans="1:31" ht="19.95" customHeight="1" x14ac:dyDescent="0.65">
      <c r="A75" s="66" t="str">
        <f>_xlfn.XLOOKUP(B64,TimeTable[מס"ד],TimeTable[שולחן הרצה 1])</f>
        <v>8 אדום</v>
      </c>
      <c r="B75" s="30" t="str">
        <f>" מקצה 1 - שולחן "&amp;A75&amp;" כניסה "&amp;IF(COUNTIF('תכנית לפי קבוצות'!$AA$3:$AA$6,A75)&gt;0,"א'","ב'")</f>
        <v xml:space="preserve"> מקצה 1 - שולחן 8 אדום כניסה ב'</v>
      </c>
      <c r="C75" s="204">
        <f>_xlfn.XLOOKUP(B64,TimeTable[מס"ד],TimeTable[שעת הרצה 1])</f>
        <v>0.45138888888888856</v>
      </c>
      <c r="D75" s="31">
        <f t="shared" ref="D75:D77" si="24">C75+TIME(0,3,0)</f>
        <v>0.45347222222222189</v>
      </c>
      <c r="E75" s="76"/>
      <c r="F75" s="66" t="str">
        <f>_xlfn.XLOOKUP(G64,TimeTable[מס"ד],TimeTable[שולחן הרצה 1])</f>
        <v>1 אדום</v>
      </c>
      <c r="G75" s="30" t="str">
        <f>" מקצה 1 - שולחן "&amp;F75&amp;" כניסה "&amp;IF(COUNTIF('תכנית לפי קבוצות'!$AA$3:$AA$6,F75)&gt;0,"א'","ב'")</f>
        <v xml:space="preserve"> מקצה 1 - שולחן 1 אדום כניסה א'</v>
      </c>
      <c r="H75" s="204">
        <f>_xlfn.XLOOKUP(G64,TimeTable[מס"ד],TimeTable[שעת הרצה 1])</f>
        <v>0.47569444444444403</v>
      </c>
      <c r="I75" s="31">
        <f t="shared" ref="I75:I77" si="25">H75+TIME(0,3,0)</f>
        <v>0.47777777777777736</v>
      </c>
      <c r="J75" s="76"/>
      <c r="K75" s="66" t="str">
        <f>_xlfn.XLOOKUP(L64,TimeTable[מס"ד],TimeTable[שולחן הרצה 1])</f>
        <v>6 אדום</v>
      </c>
      <c r="L75" s="30" t="str">
        <f>" מקצה 1 - שולחן "&amp;K75&amp;" כניסה "&amp;IF(COUNTIF('תכנית לפי קבוצות'!$AA$3:$AA$6,K75)&gt;0,"א'","ב'")</f>
        <v xml:space="preserve"> מקצה 1 - שולחן 6 אדום כניסה ב'</v>
      </c>
      <c r="M75" s="204">
        <f>_xlfn.XLOOKUP(L64,TimeTable[מס"ד],TimeTable[שעת הרצה 1])</f>
        <v>0.45138888888888856</v>
      </c>
      <c r="N75" s="31">
        <f t="shared" ref="N75:N77" si="26">M75+TIME(0,3,0)</f>
        <v>0.45347222222222189</v>
      </c>
      <c r="O75" s="76"/>
      <c r="P75" s="66" t="str">
        <f>_xlfn.XLOOKUP(Q64,TimeTable[מס"ד],TimeTable[שולחן הרצה 1])</f>
        <v>5 אדום</v>
      </c>
      <c r="Q75" s="30" t="str">
        <f>" מקצה 1 - שולחן "&amp;P75&amp;" כניסה "&amp;IF(COUNTIF('תכנית לפי קבוצות'!$AA$3:$AA$6,P75)&gt;0,"א'","ב'")</f>
        <v xml:space="preserve"> מקצה 1 - שולחן 5 אדום כניסה ב'</v>
      </c>
      <c r="R75" s="204">
        <f>_xlfn.XLOOKUP(Q64,TimeTable[מס"ד],TimeTable[שעת הרצה 1])</f>
        <v>0.47222222222222182</v>
      </c>
      <c r="S75" s="31">
        <f t="shared" ref="S75:S77" si="27">R75+TIME(0,3,0)</f>
        <v>0.47430555555555515</v>
      </c>
      <c r="T75" s="76"/>
    </row>
    <row r="76" spans="1:31" ht="19.95" customHeight="1" x14ac:dyDescent="0.65">
      <c r="A76" s="66" t="str">
        <f>_xlfn.XLOOKUP(B64,TimeTable[מס"ד],TimeTable[שולחן הרצה 2])</f>
        <v>3 אדום</v>
      </c>
      <c r="B76" s="30" t="str">
        <f>" מקצה 2 - שולחן "&amp;A76&amp;" כניסה "&amp;IF(COUNTIF('תכנית לפי קבוצות'!$AA$3:$AA$6,A76)&gt;0,"א'","ב'")</f>
        <v xml:space="preserve"> מקצה 2 - שולחן 3 אדום כניסה א'</v>
      </c>
      <c r="C76" s="204">
        <f>_xlfn.XLOOKUP(B64,TimeTable[מס"ד],TimeTable[שעת הרצה 2])</f>
        <v>0.5138888888888884</v>
      </c>
      <c r="D76" s="31">
        <f t="shared" si="24"/>
        <v>0.51597222222222172</v>
      </c>
      <c r="E76" s="76"/>
      <c r="F76" s="66" t="str">
        <f>_xlfn.XLOOKUP(G64,TimeTable[מס"ד],TimeTable[שולחן הרצה 2])</f>
        <v>7 אדום</v>
      </c>
      <c r="G76" s="30" t="str">
        <f>" מקצה 2 - שולחן "&amp;F76&amp;" כניסה "&amp;IF(COUNTIF('תכנית לפי קבוצות'!$AA$3:$AA$6,F76)&gt;0,"א'","ב'")</f>
        <v xml:space="preserve"> מקצה 2 - שולחן 7 אדום כניסה ב'</v>
      </c>
      <c r="H76" s="204">
        <f>_xlfn.XLOOKUP(G64,TimeTable[מס"ד],TimeTable[שעת הרצה 2])</f>
        <v>0.53124999999999944</v>
      </c>
      <c r="I76" s="31">
        <f t="shared" si="25"/>
        <v>0.53333333333333277</v>
      </c>
      <c r="J76" s="76"/>
      <c r="K76" s="66" t="str">
        <f>_xlfn.XLOOKUP(L64,TimeTable[מס"ד],TimeTable[שולחן הרצה 2])</f>
        <v>2 אדום</v>
      </c>
      <c r="L76" s="30" t="str">
        <f>" מקצה 2 - שולחן "&amp;K76&amp;" כניסה "&amp;IF(COUNTIF('תכנית לפי קבוצות'!$AA$3:$AA$6,K76)&gt;0,"א'","ב'")</f>
        <v xml:space="preserve"> מקצה 2 - שולחן 2 אדום כניסה א'</v>
      </c>
      <c r="M76" s="204">
        <f>_xlfn.XLOOKUP(L64,TimeTable[מס"ד],TimeTable[שעת הרצה 2])</f>
        <v>0.54861111111111049</v>
      </c>
      <c r="N76" s="31">
        <f t="shared" si="26"/>
        <v>0.55069444444444382</v>
      </c>
      <c r="O76" s="76"/>
      <c r="P76" s="66" t="str">
        <f>_xlfn.XLOOKUP(Q64,TimeTable[מס"ד],TimeTable[שולחן הרצה 2])</f>
        <v>5 אדום</v>
      </c>
      <c r="Q76" s="30" t="str">
        <f>" מקצה 2 - שולחן "&amp;P76&amp;" כניסה "&amp;IF(COUNTIF('תכנית לפי קבוצות'!$AA$3:$AA$6,P76)&gt;0,"א'","ב'")</f>
        <v xml:space="preserve"> מקצה 2 - שולחן 5 אדום כניסה ב'</v>
      </c>
      <c r="R76" s="204">
        <f>_xlfn.XLOOKUP(Q64,TimeTable[מס"ד],TimeTable[שעת הרצה 2])</f>
        <v>0.53819444444444386</v>
      </c>
      <c r="S76" s="31">
        <f t="shared" si="27"/>
        <v>0.54027777777777719</v>
      </c>
      <c r="T76" s="76"/>
    </row>
    <row r="77" spans="1:31" ht="19.95" customHeight="1" x14ac:dyDescent="0.65">
      <c r="A77" s="66" t="str">
        <f>_xlfn.XLOOKUP(B64,TimeTable[מס"ד],TimeTable[שולחן הרצה 3])</f>
        <v>3 אדום</v>
      </c>
      <c r="B77" s="30" t="str">
        <f>" מקצה 3 - שולחן "&amp;A77&amp;" כניסה "&amp;IF(COUNTIF('תכנית לפי קבוצות'!$AA$3:$AA$6,A77)&gt;0,"א'","ב'")</f>
        <v xml:space="preserve"> מקצה 3 - שולחן 3 אדום כניסה א'</v>
      </c>
      <c r="C77" s="204">
        <f>_xlfn.XLOOKUP(B64,TimeTable[מס"ד],TimeTable[שעת הרצה 3])</f>
        <v>0.59027777777777701</v>
      </c>
      <c r="D77" s="31">
        <f t="shared" si="24"/>
        <v>0.59236111111111034</v>
      </c>
      <c r="E77" s="76"/>
      <c r="F77" s="66" t="str">
        <f>_xlfn.XLOOKUP(G64,TimeTable[מס"ד],TimeTable[שולחן הרצה 3])</f>
        <v>1 אדום</v>
      </c>
      <c r="G77" s="30" t="str">
        <f>" מקצה 3 - שולחן "&amp;F77&amp;" כניסה "&amp;IF(COUNTIF('תכנית לפי קבוצות'!$AA$3:$AA$6,F77)&gt;0,"א'","ב'")</f>
        <v xml:space="preserve"> מקצה 3 - שולחן 1 אדום כניסה א'</v>
      </c>
      <c r="H77" s="204">
        <f>_xlfn.XLOOKUP(G64,TimeTable[מס"ד],TimeTable[שעת הרצה 3])</f>
        <v>0.60416666666666585</v>
      </c>
      <c r="I77" s="31">
        <f t="shared" si="25"/>
        <v>0.60624999999999918</v>
      </c>
      <c r="J77" s="76"/>
      <c r="K77" s="66" t="str">
        <f>_xlfn.XLOOKUP(L64,TimeTable[מס"ד],TimeTable[שולחן הרצה 3])</f>
        <v>7 אדום</v>
      </c>
      <c r="L77" s="30" t="str">
        <f>" מקצה 3 - שולחן "&amp;K77&amp;" כניסה "&amp;IF(COUNTIF('תכנית לפי קבוצות'!$AA$3:$AA$6,K77)&gt;0,"א'","ב'")</f>
        <v xml:space="preserve"> מקצה 3 - שולחן 7 אדום כניסה ב'</v>
      </c>
      <c r="M77" s="204">
        <f>_xlfn.XLOOKUP(L64,TimeTable[מס"ד],TimeTable[שעת הרצה 3])</f>
        <v>0.61458333333333248</v>
      </c>
      <c r="N77" s="31">
        <f t="shared" si="26"/>
        <v>0.61666666666666581</v>
      </c>
      <c r="O77" s="76"/>
      <c r="P77" s="66" t="str">
        <f>_xlfn.XLOOKUP(Q64,TimeTable[מס"ד],TimeTable[שולחן הרצה 3])</f>
        <v>5 אדום</v>
      </c>
      <c r="Q77" s="30" t="str">
        <f>" מקצה 3 - שולחן "&amp;P77&amp;" כניסה "&amp;IF(COUNTIF('תכנית לפי קבוצות'!$AA$3:$AA$6,P77)&gt;0,"א'","ב'")</f>
        <v xml:space="preserve"> מקצה 3 - שולחן 5 אדום כניסה ב'</v>
      </c>
      <c r="R77" s="204">
        <f>_xlfn.XLOOKUP(Q64,TimeTable[מס"ד],TimeTable[שעת הרצה 3])</f>
        <v>0.62847222222222132</v>
      </c>
      <c r="S77" s="31">
        <f t="shared" si="27"/>
        <v>0.63055555555555465</v>
      </c>
      <c r="T77" s="76"/>
    </row>
    <row r="78" spans="1:31" s="69" customFormat="1" ht="19.95" customHeight="1" x14ac:dyDescent="0.65">
      <c r="A78" s="203">
        <f>pits+TIME(2,0,0)</f>
        <v>8.3333333333333329E-2</v>
      </c>
      <c r="B78" s="30" t="s">
        <v>192</v>
      </c>
      <c r="C78" s="204"/>
      <c r="D78" s="31"/>
      <c r="E78" s="75"/>
      <c r="F78" s="203">
        <f>pits+TIME(2,0,0)</f>
        <v>8.3333333333333329E-2</v>
      </c>
      <c r="G78" s="30" t="s">
        <v>192</v>
      </c>
      <c r="H78" s="204"/>
      <c r="I78" s="31"/>
      <c r="J78" s="75"/>
      <c r="K78" s="203">
        <f>pits+TIME(2,0,0)</f>
        <v>8.3333333333333329E-2</v>
      </c>
      <c r="L78" s="30" t="s">
        <v>192</v>
      </c>
      <c r="M78" s="204"/>
      <c r="N78" s="31"/>
      <c r="O78" s="75"/>
      <c r="P78" s="203">
        <f>pits+TIME(2,0,0)</f>
        <v>8.3333333333333329E-2</v>
      </c>
      <c r="Q78" s="30" t="s">
        <v>192</v>
      </c>
      <c r="R78" s="204"/>
      <c r="S78" s="31"/>
      <c r="T78" s="75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</row>
    <row r="79" spans="1:31" s="69" customFormat="1" ht="19.95" customHeight="1" x14ac:dyDescent="0.65">
      <c r="A79" s="77" t="str">
        <f>_xlfn.XLOOKUP(B64,TimeTable[מס"ד],TimeTable[שולחן הרצת טורניר])</f>
        <v>5 אדום</v>
      </c>
      <c r="B79" s="30" t="str">
        <f>" טורניר ידידות - שולחן "&amp;A79&amp;" כניסה "&amp;IF(COUNTIF('תכנית לפי קבוצות'!$AA$3:$AA$6,A79)&gt;0,"א'","ב'")&amp;", עם קבוצה "&amp;_xlfn.XLOOKUP(B64,TeamList2[מס"ד],TeamList2[מס'' הקבוצה])</f>
        <v xml:space="preserve"> טורניר ידידות - שולחן 5 אדום כניסה ב', עם קבוצה 1520</v>
      </c>
      <c r="C79" s="204">
        <f>_xlfn.XLOOKUP(_xlfn.XLOOKUP(B64,TeamList[מס"ד],TeamList[מס'' הקבוצה]),Table135[קבוצה],Table135[שעה])</f>
        <v>0.67708333333333326</v>
      </c>
      <c r="D79" s="31">
        <f t="shared" ref="D79" si="28">C79+TIME(0,3,0)</f>
        <v>0.67916666666666659</v>
      </c>
      <c r="E79" s="75"/>
      <c r="F79" s="77" t="str">
        <f>_xlfn.XLOOKUP(G64,TimeTable[מס"ד],TimeTable[שולחן הרצת טורניר])</f>
        <v>6 אדום</v>
      </c>
      <c r="G79" s="30" t="str">
        <f>" טורניר ידידות - שולחן "&amp;F79&amp;" כניסה "&amp;IF(COUNTIF('תכנית לפי קבוצות'!$AA$3:$AA$6,F79)&gt;0,"א'","ב'")&amp;", עם קבוצה "&amp;_xlfn.XLOOKUP(G64,TeamList2[מס"ד],TeamList2[מס'' הקבוצה])</f>
        <v xml:space="preserve"> טורניר ידידות - שולחן 6 אדום כניסה ב', עם קבוצה 957</v>
      </c>
      <c r="H79" s="204">
        <f>_xlfn.XLOOKUP(_xlfn.XLOOKUP(G64,TeamList[מס"ד],TeamList[מס'' הקבוצה]),Table135[קבוצה],Table135[שעה])</f>
        <v>0.68402777777777768</v>
      </c>
      <c r="I79" s="31">
        <f t="shared" ref="I79" si="29">H79+TIME(0,3,0)</f>
        <v>0.68611111111111101</v>
      </c>
      <c r="J79" s="75"/>
      <c r="K79" s="77" t="str">
        <f>_xlfn.XLOOKUP(L64,TimeTable[מס"ד],TimeTable[שולחן הרצת טורניר])</f>
        <v>7 כחול</v>
      </c>
      <c r="L79" s="30" t="str">
        <f>" טורניר ידידות - שולחן "&amp;K79&amp;" כניסה "&amp;IF(COUNTIF('תכנית לפי קבוצות'!$AA$3:$AA$6,K79)&gt;0,"א'","ב'")&amp;", עם קבוצה "&amp;_xlfn.XLOOKUP(L64,TeamList2[מס"ד],TeamList2[מס'' הקבוצה])</f>
        <v xml:space="preserve"> טורניר ידידות - שולחן 7 כחול כניסה ב', עם קבוצה 3100</v>
      </c>
      <c r="M79" s="204">
        <f>_xlfn.XLOOKUP(_xlfn.XLOOKUP(L64,TeamList[מס"ד],TeamList[מס'' הקבוצה]),Table135[קבוצה],Table135[שעה])</f>
        <v>0.67013888888888884</v>
      </c>
      <c r="N79" s="31">
        <f t="shared" ref="N79" si="30">M79+TIME(0,3,0)</f>
        <v>0.67222222222222217</v>
      </c>
      <c r="O79" s="75"/>
      <c r="P79" s="77" t="str">
        <f>_xlfn.XLOOKUP(Q64,TimeTable[מס"ד],TimeTable[שולחן הרצת טורניר])</f>
        <v>8 כחול</v>
      </c>
      <c r="Q79" s="30" t="str">
        <f>" טורניר ידידות - שולחן "&amp;P79&amp;" כניסה "&amp;IF(COUNTIF('תכנית לפי קבוצות'!$AA$3:$AA$6,P79)&gt;0,"א'","ב'")&amp;", עם קבוצה "&amp;_xlfn.XLOOKUP(Q64,TeamList2[מס"ד],TeamList2[מס'' הקבוצה])</f>
        <v xml:space="preserve"> טורניר ידידות - שולחן 8 כחול כניסה ב', עם קבוצה 697</v>
      </c>
      <c r="R79" s="204">
        <f>_xlfn.XLOOKUP(_xlfn.XLOOKUP(Q64,TeamList[מס"ד],TeamList[מס'' הקבוצה]),Table135[קבוצה],Table135[שעה])</f>
        <v>0.67708333333333326</v>
      </c>
      <c r="S79" s="31">
        <f t="shared" ref="S79" si="31">R79+TIME(0,3,0)</f>
        <v>0.67916666666666659</v>
      </c>
      <c r="T79" s="75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</row>
    <row r="80" spans="1:31" s="69" customFormat="1" ht="19.95" customHeight="1" x14ac:dyDescent="0.65">
      <c r="A80" s="66"/>
      <c r="B80" s="139" t="str">
        <f>" "&amp;'תכנית לפי קבוצות'!$I$91</f>
        <v xml:space="preserve"> מסיבוטיקה</v>
      </c>
      <c r="C80" s="204">
        <f>מסיבוטיקה</f>
        <v>0.69444444444444453</v>
      </c>
      <c r="D80" s="31">
        <f>C81-TIME(0,5,0)</f>
        <v>0.70486111111111094</v>
      </c>
      <c r="E80" s="65"/>
      <c r="F80" s="66"/>
      <c r="G80" s="139" t="str">
        <f>" "&amp;'תכנית לפי קבוצות'!$I$91</f>
        <v xml:space="preserve"> מסיבוטיקה</v>
      </c>
      <c r="H80" s="204">
        <f>מסיבוטיקה</f>
        <v>0.69444444444444453</v>
      </c>
      <c r="I80" s="31">
        <f>H81-TIME(0,5,0)</f>
        <v>0.70486111111111094</v>
      </c>
      <c r="J80" s="65"/>
      <c r="K80" s="66"/>
      <c r="L80" s="139" t="str">
        <f>" "&amp;'תכנית לפי קבוצות'!$I$91</f>
        <v xml:space="preserve"> מסיבוטיקה</v>
      </c>
      <c r="M80" s="204">
        <f>מסיבוטיקה</f>
        <v>0.69444444444444453</v>
      </c>
      <c r="N80" s="31">
        <f>M81-TIME(0,5,0)</f>
        <v>0.70486111111111094</v>
      </c>
      <c r="O80" s="65"/>
      <c r="P80" s="66"/>
      <c r="Q80" s="139" t="str">
        <f>" "&amp;'תכנית לפי קבוצות'!$I$91</f>
        <v xml:space="preserve"> מסיבוטיקה</v>
      </c>
      <c r="R80" s="204">
        <f>מסיבוטיקה</f>
        <v>0.69444444444444453</v>
      </c>
      <c r="S80" s="31">
        <f>R81-TIME(0,5,0)</f>
        <v>0.70486111111111094</v>
      </c>
      <c r="T80" s="65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</row>
    <row r="81" spans="1:31" s="69" customFormat="1" ht="19.95" customHeight="1" thickBot="1" x14ac:dyDescent="0.8">
      <c r="A81" s="66"/>
      <c r="B81" s="70" t="s">
        <v>114</v>
      </c>
      <c r="C81" s="208">
        <f>סיום</f>
        <v>0.70833333333333315</v>
      </c>
      <c r="D81" s="209">
        <f>_xlfn.XLOOKUP(N,break_scheduler['# of teams],break_scheduler[END])</f>
        <v>0.73958333333333315</v>
      </c>
      <c r="E81" s="65"/>
      <c r="F81" s="66"/>
      <c r="G81" s="70" t="s">
        <v>114</v>
      </c>
      <c r="H81" s="208">
        <f>סיום</f>
        <v>0.70833333333333315</v>
      </c>
      <c r="I81" s="209">
        <f>_xlfn.XLOOKUP(N,break_scheduler['# of teams],break_scheduler[END])</f>
        <v>0.73958333333333315</v>
      </c>
      <c r="J81" s="65"/>
      <c r="K81" s="66"/>
      <c r="L81" s="70" t="s">
        <v>114</v>
      </c>
      <c r="M81" s="208">
        <f>סיום</f>
        <v>0.70833333333333315</v>
      </c>
      <c r="N81" s="209">
        <f>_xlfn.XLOOKUP(N,break_scheduler['# of teams],break_scheduler[END])</f>
        <v>0.73958333333333315</v>
      </c>
      <c r="O81" s="65"/>
      <c r="P81" s="66"/>
      <c r="Q81" s="70" t="s">
        <v>114</v>
      </c>
      <c r="R81" s="208">
        <f>סיום</f>
        <v>0.70833333333333315</v>
      </c>
      <c r="S81" s="209">
        <f>_xlfn.XLOOKUP(N,break_scheduler['# of teams],break_scheduler[END])</f>
        <v>0.73958333333333315</v>
      </c>
      <c r="T81" s="65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</row>
    <row r="82" spans="1:31" s="69" customFormat="1" ht="43.9" customHeight="1" x14ac:dyDescent="0.65">
      <c r="A82" s="210" t="s">
        <v>186</v>
      </c>
      <c r="B82" s="62"/>
      <c r="C82" s="62"/>
      <c r="D82" s="62"/>
      <c r="E82" s="62"/>
      <c r="F82" s="210" t="s">
        <v>186</v>
      </c>
      <c r="G82" s="62"/>
      <c r="H82" s="62"/>
      <c r="I82" s="62"/>
      <c r="J82" s="62"/>
      <c r="K82" s="210" t="s">
        <v>186</v>
      </c>
      <c r="L82" s="62"/>
      <c r="M82" s="62"/>
      <c r="N82" s="62"/>
      <c r="O82" s="62"/>
      <c r="P82" s="210" t="s">
        <v>186</v>
      </c>
      <c r="Q82" s="62"/>
      <c r="R82" s="62"/>
      <c r="S82" s="62"/>
      <c r="T82" s="62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</row>
    <row r="83" spans="1:31" s="69" customFormat="1" ht="19.95" customHeight="1" x14ac:dyDescent="0.65">
      <c r="A83" s="278" t="s">
        <v>187</v>
      </c>
      <c r="B83" s="278"/>
      <c r="C83" s="278"/>
      <c r="D83" s="278"/>
      <c r="E83" s="278"/>
      <c r="F83" s="278" t="s">
        <v>187</v>
      </c>
      <c r="G83" s="278"/>
      <c r="H83" s="278"/>
      <c r="I83" s="278"/>
      <c r="J83" s="278"/>
      <c r="K83" s="278" t="s">
        <v>187</v>
      </c>
      <c r="L83" s="278"/>
      <c r="M83" s="278"/>
      <c r="N83" s="278"/>
      <c r="O83" s="278"/>
      <c r="P83" s="278" t="s">
        <v>187</v>
      </c>
      <c r="Q83" s="278"/>
      <c r="R83" s="278"/>
      <c r="S83" s="278"/>
      <c r="T83" s="278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</row>
    <row r="84" spans="1:31" s="69" customFormat="1" ht="19.95" customHeight="1" x14ac:dyDescent="0.65">
      <c r="A84" s="279" t="s">
        <v>37</v>
      </c>
      <c r="B84" s="279"/>
      <c r="C84" s="279"/>
      <c r="D84" s="279"/>
      <c r="E84" s="279"/>
      <c r="F84" s="279" t="s">
        <v>37</v>
      </c>
      <c r="G84" s="279"/>
      <c r="H84" s="279"/>
      <c r="I84" s="279"/>
      <c r="J84" s="279"/>
      <c r="K84" s="279" t="s">
        <v>37</v>
      </c>
      <c r="L84" s="279"/>
      <c r="M84" s="279"/>
      <c r="N84" s="279"/>
      <c r="O84" s="279"/>
      <c r="P84" s="279" t="s">
        <v>37</v>
      </c>
      <c r="Q84" s="279"/>
      <c r="R84" s="279"/>
      <c r="S84" s="279"/>
      <c r="T84" s="279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</row>
    <row r="85" spans="1:31" ht="19.95" customHeight="1" x14ac:dyDescent="0.65">
      <c r="B85" s="67">
        <f>B64+1</f>
        <v>5</v>
      </c>
      <c r="G85" s="67">
        <f>G64+1</f>
        <v>19</v>
      </c>
      <c r="L85" s="67">
        <f>L64+1</f>
        <v>33</v>
      </c>
      <c r="Q85" s="67">
        <f>Q64+1</f>
        <v>47</v>
      </c>
    </row>
    <row r="86" spans="1:31" ht="19.95" customHeight="1" x14ac:dyDescent="0.65"/>
    <row r="87" spans="1:31" ht="19.95" customHeight="1" x14ac:dyDescent="0.65"/>
    <row r="88" spans="1:31" ht="19.95" customHeight="1" x14ac:dyDescent="0.65"/>
    <row r="89" spans="1:31" ht="19.95" customHeight="1" x14ac:dyDescent="0.65"/>
    <row r="90" spans="1:31" ht="19.95" customHeight="1" thickBot="1" x14ac:dyDescent="0.8"/>
    <row r="91" spans="1:31" ht="19.95" customHeight="1" thickBot="1" x14ac:dyDescent="0.8">
      <c r="A91" s="66"/>
      <c r="B91" s="275" t="str">
        <f>_xlfn.XLOOKUP(B85,TeamList[מס"ד],TeamList[מס'' הקבוצה])&amp;" "&amp;_xlfn.XLOOKUP(B85,TeamList[מס"ד],TeamList[שם הקבוצה])&amp;" "&amp;_xlfn.XLOOKUP(B85,TeamList[מס"ד],TeamList[ישוב])</f>
        <v>3243 לאה גולדברג נתניה</v>
      </c>
      <c r="C91" s="276"/>
      <c r="D91" s="277"/>
      <c r="E91" s="64"/>
      <c r="F91" s="66"/>
      <c r="G91" s="275" t="str">
        <f>_xlfn.XLOOKUP(G85,TeamList[מס"ד],TeamList[מס'' הקבוצה])&amp;" "&amp;_xlfn.XLOOKUP(G85,TeamList[מס"ד],TeamList[שם הקבוצה])&amp;" "&amp;_xlfn.XLOOKUP(G85,TeamList[מס"ד],TeamList[ישוב])</f>
        <v>341 עירוני ד  מודיעין-מכבים-רעות</v>
      </c>
      <c r="H91" s="276"/>
      <c r="I91" s="277"/>
      <c r="J91" s="64"/>
      <c r="K91" s="66"/>
      <c r="L91" s="275" t="str">
        <f>_xlfn.XLOOKUP(L85,TeamList[מס"ד],TeamList[מס'' הקבוצה])&amp;" "&amp;_xlfn.XLOOKUP(L85,TeamList[מס"ד],TeamList[שם הקבוצה])&amp;" "&amp;_xlfn.XLOOKUP(L85,TeamList[מס"ד],TeamList[ישוב])</f>
        <v>1324 עירוני ד  מודיעין-מכבים-רעות</v>
      </c>
      <c r="M91" s="276"/>
      <c r="N91" s="277"/>
      <c r="O91" s="64"/>
      <c r="P91" s="66"/>
      <c r="Q91" s="275" t="str">
        <f>_xlfn.XLOOKUP(Q85,TeamList[מס"ד],TeamList[מס'' הקבוצה])&amp;" "&amp;_xlfn.XLOOKUP(Q85,TeamList[מס"ד],TeamList[שם הקבוצה])&amp;" "&amp;_xlfn.XLOOKUP(Q85,TeamList[מס"ד],TeamList[ישוב])</f>
        <v>2843 בארי  חיפה</v>
      </c>
      <c r="R91" s="276"/>
      <c r="S91" s="277"/>
      <c r="T91" s="64"/>
    </row>
    <row r="92" spans="1:31" ht="19.95" customHeight="1" thickBot="1" x14ac:dyDescent="0.8">
      <c r="A92" s="66"/>
      <c r="B92" s="63" t="s">
        <v>35</v>
      </c>
      <c r="C92" s="206" t="s">
        <v>184</v>
      </c>
      <c r="D92" s="28" t="s">
        <v>185</v>
      </c>
      <c r="E92" s="64"/>
      <c r="F92" s="66"/>
      <c r="G92" s="63" t="s">
        <v>35</v>
      </c>
      <c r="H92" s="206" t="s">
        <v>184</v>
      </c>
      <c r="I92" s="28" t="s">
        <v>185</v>
      </c>
      <c r="J92" s="64"/>
      <c r="K92" s="66"/>
      <c r="L92" s="63" t="s">
        <v>35</v>
      </c>
      <c r="M92" s="206" t="s">
        <v>184</v>
      </c>
      <c r="N92" s="28" t="s">
        <v>185</v>
      </c>
      <c r="O92" s="64"/>
      <c r="P92" s="66"/>
      <c r="Q92" s="63" t="s">
        <v>35</v>
      </c>
      <c r="R92" s="206" t="s">
        <v>184</v>
      </c>
      <c r="S92" s="28" t="s">
        <v>185</v>
      </c>
      <c r="T92" s="64"/>
    </row>
    <row r="93" spans="1:31" ht="19.95" customHeight="1" x14ac:dyDescent="0.65">
      <c r="A93" s="66"/>
      <c r="B93" s="207" t="s">
        <v>113</v>
      </c>
      <c r="C93" s="205">
        <f>Opening</f>
        <v>0.41666666666666669</v>
      </c>
      <c r="D93" s="29">
        <f>C93+TIME(0,25,0)</f>
        <v>0.43402777777777779</v>
      </c>
      <c r="E93" s="74"/>
      <c r="F93" s="66"/>
      <c r="G93" s="207" t="s">
        <v>113</v>
      </c>
      <c r="H93" s="205">
        <f>Opening</f>
        <v>0.41666666666666669</v>
      </c>
      <c r="I93" s="29">
        <f>H93+TIME(0,25,0)</f>
        <v>0.43402777777777779</v>
      </c>
      <c r="J93" s="74"/>
      <c r="K93" s="66"/>
      <c r="L93" s="207" t="s">
        <v>113</v>
      </c>
      <c r="M93" s="205">
        <f>Opening</f>
        <v>0.41666666666666669</v>
      </c>
      <c r="N93" s="29">
        <f>M93+TIME(0,25,0)</f>
        <v>0.43402777777777779</v>
      </c>
      <c r="O93" s="74"/>
      <c r="P93" s="66"/>
      <c r="Q93" s="207" t="s">
        <v>113</v>
      </c>
      <c r="R93" s="205">
        <f>Opening</f>
        <v>0.41666666666666669</v>
      </c>
      <c r="S93" s="29">
        <f>R93+TIME(0,25,0)</f>
        <v>0.43402777777777779</v>
      </c>
      <c r="T93" s="74"/>
    </row>
    <row r="94" spans="1:31" ht="19.95" customHeight="1" x14ac:dyDescent="0.65">
      <c r="A94" s="66"/>
      <c r="B94" s="30" t="str">
        <f>CONCATENATE(" חדר שיפוט ",_xlfn.XLOOKUP(B85,TeamList[מס"ד],TeamList[חדר שיפוט]))</f>
        <v xml:space="preserve"> חדר שיפוט 5 אדום</v>
      </c>
      <c r="C94" s="204">
        <f>_xlfn.XLOOKUP(B85,TimeTable[מס"ד],TimeTable[שעת שיפוט])</f>
        <v>0.36458333333333331</v>
      </c>
      <c r="D94" s="31">
        <f>C94+JS</f>
        <v>0.3833333333333333</v>
      </c>
      <c r="E94" s="75"/>
      <c r="F94" s="66"/>
      <c r="G94" s="30" t="str">
        <f>CONCATENATE(" חדר שיפוט ",_xlfn.XLOOKUP(G85,TeamList[מס"ד],TeamList[חדר שיפוט]))</f>
        <v xml:space="preserve"> חדר שיפוט 5 אדום</v>
      </c>
      <c r="H94" s="204">
        <f>_xlfn.XLOOKUP(G85,TimeTable[מס"ד],TimeTable[שעת שיפוט])</f>
        <v>0.4375</v>
      </c>
      <c r="I94" s="31">
        <f>H94+JS</f>
        <v>0.45624999999999999</v>
      </c>
      <c r="J94" s="75"/>
      <c r="K94" s="66"/>
      <c r="L94" s="30" t="str">
        <f>CONCATENATE(" חדר שיפוט ",_xlfn.XLOOKUP(L85,TeamList[מס"ד],TeamList[חדר שיפוט]))</f>
        <v xml:space="preserve"> חדר שיפוט 5 אדום</v>
      </c>
      <c r="M94" s="204">
        <f>_xlfn.XLOOKUP(L85,TimeTable[מס"ד],TimeTable[שעת שיפוט])</f>
        <v>0.5</v>
      </c>
      <c r="N94" s="31">
        <f>M94+JS</f>
        <v>0.51875000000000004</v>
      </c>
      <c r="O94" s="75"/>
      <c r="P94" s="66"/>
      <c r="Q94" s="30" t="str">
        <f>CONCATENATE(" חדר שיפוט ",_xlfn.XLOOKUP(Q85,TeamList[מס"ד],TeamList[חדר שיפוט]))</f>
        <v xml:space="preserve"> חדר שיפוט 5 אדום</v>
      </c>
      <c r="R94" s="204">
        <f>_xlfn.XLOOKUP(Q85,TimeTable[מס"ד],TimeTable[שעת שיפוט])</f>
        <v>0.59374999999999989</v>
      </c>
      <c r="S94" s="31">
        <f>R94+JS</f>
        <v>0.61249999999999993</v>
      </c>
      <c r="T94" s="75"/>
    </row>
    <row r="95" spans="1:31" ht="19.95" customHeight="1" x14ac:dyDescent="0.65">
      <c r="A95" s="77" t="str">
        <f>_xlfn.XLOOKUP(B85,TimeTable[מס"ד],TimeTable[שולחן הרצת אימון])</f>
        <v>2 אדום</v>
      </c>
      <c r="B95" s="30" t="str">
        <f>" מקצה אימונים - שולחן "&amp;A95&amp;" כניסה "&amp;IF(COUNTIF('תכנית לפי קבוצות'!$AA$3:$AA$6,A95)&gt;0,"א'","ב'")</f>
        <v xml:space="preserve"> מקצה אימונים - שולחן 2 אדום כניסה א'</v>
      </c>
      <c r="C95" s="204">
        <f>_xlfn.XLOOKUP(B85,TimeTable[מס"ד],TimeTable[שעת הרצת אימון])</f>
        <v>0.39791666666666659</v>
      </c>
      <c r="D95" s="31">
        <f>C95+TIME(0,3,0)</f>
        <v>0.39999999999999991</v>
      </c>
      <c r="E95" s="76"/>
      <c r="F95" s="77" t="str">
        <f>_xlfn.XLOOKUP(G85,TimeTable[מס"ד],TimeTable[שולחן הרצת אימון])</f>
        <v>3 אדום</v>
      </c>
      <c r="G95" s="30" t="str">
        <f>" מקצה אימונים - שולחן "&amp;F95&amp;" כניסה "&amp;IF(COUNTIF('תכנית לפי קבוצות'!$AA$3:$AA$6,F95)&gt;0,"א'","ב'")</f>
        <v xml:space="preserve"> מקצה אימונים - שולחן 3 אדום כניסה א'</v>
      </c>
      <c r="H95" s="204">
        <f>_xlfn.XLOOKUP(G85,TimeTable[מס"ד],TimeTable[שעת הרצת אימון])</f>
        <v>0.37291666666666662</v>
      </c>
      <c r="I95" s="31">
        <f>H95+TIME(0,3,0)</f>
        <v>0.37499999999999994</v>
      </c>
      <c r="J95" s="76"/>
      <c r="K95" s="77" t="str">
        <f>_xlfn.XLOOKUP(L85,TimeTable[מס"ד],TimeTable[שולחן הרצת אימון])</f>
        <v>3 אדום</v>
      </c>
      <c r="L95" s="30" t="str">
        <f>" מקצה אימונים - שולחן "&amp;K95&amp;" כניסה "&amp;IF(COUNTIF('תכנית לפי קבוצות'!$AA$3:$AA$6,K95)&gt;0,"א'","ב'")</f>
        <v xml:space="preserve"> מקצה אימונים - שולחן 3 אדום כניסה א'</v>
      </c>
      <c r="M95" s="204">
        <f>_xlfn.XLOOKUP(L85,TimeTable[מס"ד],TimeTable[שעת הרצת אימון])</f>
        <v>0.38124999999999992</v>
      </c>
      <c r="N95" s="31">
        <f>M95+TIME(0,3,0)</f>
        <v>0.38333333333333325</v>
      </c>
      <c r="O95" s="76"/>
      <c r="P95" s="77" t="str">
        <f>_xlfn.XLOOKUP(Q85,TimeTable[מס"ד],TimeTable[שולחן הרצת אימון])</f>
        <v>4 אדום</v>
      </c>
      <c r="Q95" s="30" t="str">
        <f>" מקצה אימונים - שולחן "&amp;P95&amp;" כניסה "&amp;IF(COUNTIF('תכנית לפי קבוצות'!$AA$3:$AA$6,P95)&gt;0,"א'","ב'")</f>
        <v xml:space="preserve"> מקצה אימונים - שולחן 4 אדום כניסה א'</v>
      </c>
      <c r="R95" s="204">
        <f>_xlfn.XLOOKUP(Q85,TimeTable[מס"ד],TimeTable[שעת הרצת אימון])</f>
        <v>0.40624999999999994</v>
      </c>
      <c r="S95" s="31">
        <f>R95+TIME(0,3,0)</f>
        <v>0.40833333333333327</v>
      </c>
      <c r="T95" s="76"/>
    </row>
    <row r="96" spans="1:31" ht="19.95" customHeight="1" x14ac:dyDescent="0.65">
      <c r="A96" s="66" t="str">
        <f>_xlfn.XLOOKUP(B85,TimeTable[מס"ד],TimeTable[שולחן הרצה 1])</f>
        <v>1 אדום</v>
      </c>
      <c r="B96" s="30" t="str">
        <f>" מקצה 1 - שולחן "&amp;A96&amp;" כניסה "&amp;IF(COUNTIF('תכנית לפי קבוצות'!$AA$3:$AA$6,A96)&gt;0,"א'","ב'")</f>
        <v xml:space="preserve"> מקצה 1 - שולחן 1 אדום כניסה א'</v>
      </c>
      <c r="C96" s="204">
        <f>_xlfn.XLOOKUP(B85,TimeTable[מס"ד],TimeTable[שעת הרצה 1])</f>
        <v>0.44791666666666635</v>
      </c>
      <c r="D96" s="31">
        <f t="shared" ref="D96:D98" si="32">C96+TIME(0,3,0)</f>
        <v>0.44999999999999968</v>
      </c>
      <c r="E96" s="76"/>
      <c r="F96" s="66" t="str">
        <f>_xlfn.XLOOKUP(G85,TimeTable[מס"ד],TimeTable[שולחן הרצה 1])</f>
        <v>5 אדום</v>
      </c>
      <c r="G96" s="30" t="str">
        <f>" מקצה 1 - שולחן "&amp;F96&amp;" כניסה "&amp;IF(COUNTIF('תכנית לפי קבוצות'!$AA$3:$AA$6,F96)&gt;0,"א'","ב'")</f>
        <v xml:space="preserve"> מקצה 1 - שולחן 5 אדום כניסה ב'</v>
      </c>
      <c r="H96" s="204">
        <f>_xlfn.XLOOKUP(G85,TimeTable[מס"ד],TimeTable[שעת הרצה 1])</f>
        <v>0.47916666666666624</v>
      </c>
      <c r="I96" s="31">
        <f t="shared" ref="I96:I98" si="33">H96+TIME(0,3,0)</f>
        <v>0.48124999999999957</v>
      </c>
      <c r="J96" s="76"/>
      <c r="K96" s="66" t="str">
        <f>_xlfn.XLOOKUP(L85,TimeTable[מס"ד],TimeTable[שולחן הרצה 1])</f>
        <v>3 אדום</v>
      </c>
      <c r="L96" s="30" t="str">
        <f>" מקצה 1 - שולחן "&amp;K96&amp;" כניסה "&amp;IF(COUNTIF('תכנית לפי קבוצות'!$AA$3:$AA$6,K96)&gt;0,"א'","ב'")</f>
        <v xml:space="preserve"> מקצה 1 - שולחן 3 אדום כניסה א'</v>
      </c>
      <c r="M96" s="204">
        <f>_xlfn.XLOOKUP(L85,TimeTable[מס"ד],TimeTable[שעת הרצה 1])</f>
        <v>0.46180555555555519</v>
      </c>
      <c r="N96" s="31">
        <f t="shared" ref="N96:N98" si="34">M96+TIME(0,3,0)</f>
        <v>0.46388888888888852</v>
      </c>
      <c r="O96" s="76"/>
      <c r="P96" s="66" t="str">
        <f>_xlfn.XLOOKUP(Q85,TimeTable[מס"ד],TimeTable[שולחן הרצה 1])</f>
        <v>2 אדום</v>
      </c>
      <c r="Q96" s="30" t="str">
        <f>" מקצה 1 - שולחן "&amp;P96&amp;" כניסה "&amp;IF(COUNTIF('תכנית לפי קבוצות'!$AA$3:$AA$6,P96)&gt;0,"א'","ב'")</f>
        <v xml:space="preserve"> מקצה 1 - שולחן 2 אדום כניסה א'</v>
      </c>
      <c r="R96" s="204">
        <f>_xlfn.XLOOKUP(Q85,TimeTable[מס"ד],TimeTable[שעת הרצה 1])</f>
        <v>0.46874999999999961</v>
      </c>
      <c r="S96" s="31">
        <f t="shared" ref="S96:S98" si="35">R96+TIME(0,3,0)</f>
        <v>0.47083333333333294</v>
      </c>
      <c r="T96" s="76"/>
    </row>
    <row r="97" spans="1:31" ht="19.95" customHeight="1" x14ac:dyDescent="0.65">
      <c r="A97" s="66" t="str">
        <f>_xlfn.XLOOKUP(B85,TimeTable[מס"ד],TimeTable[שולחן הרצה 2])</f>
        <v>7 אדום</v>
      </c>
      <c r="B97" s="30" t="str">
        <f>" מקצה 2 - שולחן "&amp;A97&amp;" כניסה "&amp;IF(COUNTIF('תכנית לפי קבוצות'!$AA$3:$AA$6,A97)&gt;0,"א'","ב'")</f>
        <v xml:space="preserve"> מקצה 2 - שולחן 7 אדום כניסה ב'</v>
      </c>
      <c r="C97" s="204">
        <f>_xlfn.XLOOKUP(B85,TimeTable[מס"ד],TimeTable[שעת הרצה 2])</f>
        <v>0.51736111111111061</v>
      </c>
      <c r="D97" s="31">
        <f t="shared" si="32"/>
        <v>0.51944444444444393</v>
      </c>
      <c r="E97" s="76"/>
      <c r="F97" s="66" t="str">
        <f>_xlfn.XLOOKUP(G85,TimeTable[מס"ד],TimeTable[שולחן הרצה 2])</f>
        <v>6 אדום</v>
      </c>
      <c r="G97" s="30" t="str">
        <f>" מקצה 2 - שולחן "&amp;F97&amp;" כניסה "&amp;IF(COUNTIF('תכנית לפי קבוצות'!$AA$3:$AA$6,F97)&gt;0,"א'","ב'")</f>
        <v xml:space="preserve"> מקצה 2 - שולחן 6 אדום כניסה ב'</v>
      </c>
      <c r="H97" s="204">
        <f>_xlfn.XLOOKUP(G85,TimeTable[מס"ד],TimeTable[שעת הרצה 2])</f>
        <v>0.52430555555555503</v>
      </c>
      <c r="I97" s="31">
        <f t="shared" si="33"/>
        <v>0.52638888888888835</v>
      </c>
      <c r="J97" s="76"/>
      <c r="K97" s="66" t="str">
        <f>_xlfn.XLOOKUP(L85,TimeTable[מס"ד],TimeTable[שולחן הרצה 2])</f>
        <v>6 אדום</v>
      </c>
      <c r="L97" s="30" t="str">
        <f>" מקצה 2 - שולחן "&amp;K97&amp;" כניסה "&amp;IF(COUNTIF('תכנית לפי קבוצות'!$AA$3:$AA$6,K97)&gt;0,"א'","ב'")</f>
        <v xml:space="preserve"> מקצה 2 - שולחן 6 אדום כניסה ב'</v>
      </c>
      <c r="M97" s="204">
        <f>_xlfn.XLOOKUP(L85,TimeTable[מס"ד],TimeTable[שעת הרצה 2])</f>
        <v>0.5520833333333327</v>
      </c>
      <c r="N97" s="31">
        <f t="shared" si="34"/>
        <v>0.55416666666666603</v>
      </c>
      <c r="O97" s="76"/>
      <c r="P97" s="66" t="str">
        <f>_xlfn.XLOOKUP(Q85,TimeTable[מס"ד],TimeTable[שולחן הרצה 2])</f>
        <v>1 אדום</v>
      </c>
      <c r="Q97" s="30" t="str">
        <f>" מקצה 2 - שולחן "&amp;P97&amp;" כניסה "&amp;IF(COUNTIF('תכנית לפי קבוצות'!$AA$3:$AA$6,P97)&gt;0,"א'","ב'")</f>
        <v xml:space="preserve"> מקצה 2 - שולחן 1 אדום כניסה א'</v>
      </c>
      <c r="R97" s="204">
        <f>_xlfn.XLOOKUP(Q85,TimeTable[מס"ד],TimeTable[שעת הרצה 2])</f>
        <v>0.54166666666666607</v>
      </c>
      <c r="S97" s="31">
        <f t="shared" si="35"/>
        <v>0.5437499999999994</v>
      </c>
      <c r="T97" s="76"/>
    </row>
    <row r="98" spans="1:31" ht="19.95" customHeight="1" x14ac:dyDescent="0.65">
      <c r="A98" s="66" t="str">
        <f>_xlfn.XLOOKUP(B85,TimeTable[מס"ד],TimeTable[שולחן הרצה 3])</f>
        <v>6 אדום</v>
      </c>
      <c r="B98" s="30" t="str">
        <f>" מקצה 3 - שולחן "&amp;A98&amp;" כניסה "&amp;IF(COUNTIF('תכנית לפי קבוצות'!$AA$3:$AA$6,A98)&gt;0,"א'","ב'")</f>
        <v xml:space="preserve"> מקצה 3 - שולחן 6 אדום כניסה ב'</v>
      </c>
      <c r="C98" s="204">
        <f>_xlfn.XLOOKUP(B85,TimeTable[מס"ד],TimeTable[שעת הרצה 3])</f>
        <v>0.59374999999999922</v>
      </c>
      <c r="D98" s="31">
        <f t="shared" si="32"/>
        <v>0.59583333333333255</v>
      </c>
      <c r="E98" s="76"/>
      <c r="F98" s="66" t="str">
        <f>_xlfn.XLOOKUP(G85,TimeTable[מס"ד],TimeTable[שולחן הרצה 3])</f>
        <v>4 אדום</v>
      </c>
      <c r="G98" s="30" t="str">
        <f>" מקצה 3 - שולחן "&amp;F98&amp;" כניסה "&amp;IF(COUNTIF('תכנית לפי קבוצות'!$AA$3:$AA$6,F98)&gt;0,"א'","ב'")</f>
        <v xml:space="preserve"> מקצה 3 - שולחן 4 אדום כניסה א'</v>
      </c>
      <c r="H98" s="204">
        <f>_xlfn.XLOOKUP(G85,TimeTable[מס"ד],TimeTable[שעת הרצה 3])</f>
        <v>0.60416666666666585</v>
      </c>
      <c r="I98" s="31">
        <f t="shared" si="33"/>
        <v>0.60624999999999918</v>
      </c>
      <c r="J98" s="76"/>
      <c r="K98" s="66" t="str">
        <f>_xlfn.XLOOKUP(L85,TimeTable[מס"ד],TimeTable[שולחן הרצה 3])</f>
        <v>2 אדום</v>
      </c>
      <c r="L98" s="30" t="str">
        <f>" מקצה 3 - שולחן "&amp;K98&amp;" כניסה "&amp;IF(COUNTIF('תכנית לפי קבוצות'!$AA$3:$AA$6,K98)&gt;0,"א'","ב'")</f>
        <v xml:space="preserve"> מקצה 3 - שולחן 2 אדום כניסה א'</v>
      </c>
      <c r="M98" s="204">
        <f>_xlfn.XLOOKUP(L85,TimeTable[מס"ד],TimeTable[שעת הרצה 3])</f>
        <v>0.61805555555555469</v>
      </c>
      <c r="N98" s="31">
        <f t="shared" si="34"/>
        <v>0.62013888888888802</v>
      </c>
      <c r="O98" s="76"/>
      <c r="P98" s="66" t="str">
        <f>_xlfn.XLOOKUP(Q85,TimeTable[מס"ד],TimeTable[שולחן הרצה 3])</f>
        <v>8 אדום</v>
      </c>
      <c r="Q98" s="30" t="str">
        <f>" מקצה 3 - שולחן "&amp;P98&amp;" כניסה "&amp;IF(COUNTIF('תכנית לפי קבוצות'!$AA$3:$AA$6,P98)&gt;0,"א'","ב'")</f>
        <v xml:space="preserve"> מקצה 3 - שולחן 8 אדום כניסה ב'</v>
      </c>
      <c r="R98" s="204">
        <f>_xlfn.XLOOKUP(Q85,TimeTable[מס"ד],TimeTable[שעת הרצה 3])</f>
        <v>0.62847222222222132</v>
      </c>
      <c r="S98" s="31">
        <f t="shared" si="35"/>
        <v>0.63055555555555465</v>
      </c>
      <c r="T98" s="76"/>
    </row>
    <row r="99" spans="1:31" s="69" customFormat="1" ht="19.95" customHeight="1" x14ac:dyDescent="0.65">
      <c r="A99" s="203">
        <f>pits+TIME(2,0,0)</f>
        <v>8.3333333333333329E-2</v>
      </c>
      <c r="B99" s="30" t="s">
        <v>192</v>
      </c>
      <c r="C99" s="204"/>
      <c r="D99" s="31"/>
      <c r="E99" s="75"/>
      <c r="F99" s="203">
        <f>pits+TIME(2,0,0)</f>
        <v>8.3333333333333329E-2</v>
      </c>
      <c r="G99" s="30" t="s">
        <v>192</v>
      </c>
      <c r="H99" s="204"/>
      <c r="I99" s="31"/>
      <c r="J99" s="75"/>
      <c r="K99" s="203">
        <f>pits+TIME(2,0,0)</f>
        <v>8.3333333333333329E-2</v>
      </c>
      <c r="L99" s="30" t="s">
        <v>192</v>
      </c>
      <c r="M99" s="204"/>
      <c r="N99" s="31"/>
      <c r="O99" s="75"/>
      <c r="P99" s="203">
        <f>pits+TIME(2,0,0)</f>
        <v>8.3333333333333329E-2</v>
      </c>
      <c r="Q99" s="30" t="s">
        <v>192</v>
      </c>
      <c r="R99" s="204"/>
      <c r="S99" s="31"/>
      <c r="T99" s="75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</row>
    <row r="100" spans="1:31" s="69" customFormat="1" ht="19.95" customHeight="1" x14ac:dyDescent="0.65">
      <c r="A100" s="77" t="str">
        <f>_xlfn.XLOOKUP(B85,TimeTable[מס"ד],TimeTable[שולחן הרצת טורניר])</f>
        <v>1 אדום</v>
      </c>
      <c r="B100" s="30" t="str">
        <f>" טורניר ידידות - שולחן "&amp;A100&amp;" כניסה "&amp;IF(COUNTIF('תכנית לפי קבוצות'!$AA$3:$AA$6,A100)&gt;0,"א'","ב'")&amp;", עם קבוצה "&amp;_xlfn.XLOOKUP(B85,TeamList2[מס"ד],TeamList2[מס'' הקבוצה])</f>
        <v xml:space="preserve"> טורניר ידידות - שולחן 1 אדום כניסה א', עם קבוצה 137</v>
      </c>
      <c r="C100" s="204">
        <f>_xlfn.XLOOKUP(_xlfn.XLOOKUP(B85,TeamList[מס"ד],TeamList[מס'' הקבוצה]),Table135[קבוצה],Table135[שעה])</f>
        <v>0.68055555555555547</v>
      </c>
      <c r="D100" s="31">
        <f t="shared" ref="D100" si="36">C100+TIME(0,3,0)</f>
        <v>0.6826388888888888</v>
      </c>
      <c r="E100" s="75"/>
      <c r="F100" s="77" t="str">
        <f>_xlfn.XLOOKUP(G85,TimeTable[מס"ד],TimeTable[שולחן הרצת טורניר])</f>
        <v>2 כחול</v>
      </c>
      <c r="G100" s="30" t="str">
        <f>" טורניר ידידות - שולחן "&amp;F100&amp;" כניסה "&amp;IF(COUNTIF('תכנית לפי קבוצות'!$AA$3:$AA$6,F100)&gt;0,"א'","ב'")&amp;", עם קבוצה "&amp;_xlfn.XLOOKUP(G85,TeamList2[מס"ד],TeamList2[מס'' הקבוצה])</f>
        <v xml:space="preserve"> טורניר ידידות - שולחן 2 כחול כניסה ב', עם קבוצה 1331</v>
      </c>
      <c r="H100" s="204">
        <f>_xlfn.XLOOKUP(_xlfn.XLOOKUP(G85,TeamList[מס"ד],TeamList[מס'' הקבוצה]),Table135[קבוצה],Table135[שעה])</f>
        <v>0.66666666666666663</v>
      </c>
      <c r="I100" s="31">
        <f t="shared" ref="I100" si="37">H100+TIME(0,3,0)</f>
        <v>0.66874999999999996</v>
      </c>
      <c r="J100" s="75"/>
      <c r="K100" s="77" t="str">
        <f>_xlfn.XLOOKUP(L85,TimeTable[מס"ד],TimeTable[שולחן הרצת טורניר])</f>
        <v>3 כחול</v>
      </c>
      <c r="L100" s="30" t="str">
        <f>" טורניר ידידות - שולחן "&amp;K100&amp;" כניסה "&amp;IF(COUNTIF('תכנית לפי קבוצות'!$AA$3:$AA$6,K100)&gt;0,"א'","ב'")&amp;", עם קבוצה "&amp;_xlfn.XLOOKUP(L85,TeamList2[מס"ד],TeamList2[מס'' הקבוצה])</f>
        <v xml:space="preserve"> טורניר ידידות - שולחן 3 כחול כניסה ב', עם קבוצה 453</v>
      </c>
      <c r="M100" s="204">
        <f>_xlfn.XLOOKUP(_xlfn.XLOOKUP(L85,TeamList[מס"ד],TeamList[מס'' הקבוצה]),Table135[קבוצה],Table135[שעה])</f>
        <v>0.67361111111111105</v>
      </c>
      <c r="N100" s="31">
        <f t="shared" ref="N100" si="38">M100+TIME(0,3,0)</f>
        <v>0.67569444444444438</v>
      </c>
      <c r="O100" s="75"/>
      <c r="P100" s="77" t="str">
        <f>_xlfn.XLOOKUP(Q85,TimeTable[מס"ד],TimeTable[שולחן הרצת טורניר])</f>
        <v>4 כחול</v>
      </c>
      <c r="Q100" s="30" t="str">
        <f>" טורניר ידידות - שולחן "&amp;P100&amp;" כניסה "&amp;IF(COUNTIF('תכנית לפי קבוצות'!$AA$3:$AA$6,P100)&gt;0,"א'","ב'")&amp;", עם קבוצה "&amp;_xlfn.XLOOKUP(Q85,TeamList2[מס"ד],TeamList2[מס'' הקבוצה])</f>
        <v xml:space="preserve"> טורניר ידידות - שולחן 4 כחול כניסה ב', עם קבוצה 2875</v>
      </c>
      <c r="R100" s="204">
        <f>_xlfn.XLOOKUP(_xlfn.XLOOKUP(Q85,TeamList[מס"ד],TeamList[מס'' הקבוצה]),Table135[קבוצה],Table135[שעה])</f>
        <v>0.68055555555555547</v>
      </c>
      <c r="S100" s="31">
        <f t="shared" ref="S100" si="39">R100+TIME(0,3,0)</f>
        <v>0.6826388888888888</v>
      </c>
      <c r="T100" s="75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</row>
    <row r="101" spans="1:31" s="69" customFormat="1" ht="19.95" customHeight="1" x14ac:dyDescent="0.65">
      <c r="A101" s="66"/>
      <c r="B101" s="139" t="str">
        <f>" "&amp;'תכנית לפי קבוצות'!$I$91</f>
        <v xml:space="preserve"> מסיבוטיקה</v>
      </c>
      <c r="C101" s="204">
        <f>מסיבוטיקה</f>
        <v>0.69444444444444453</v>
      </c>
      <c r="D101" s="31">
        <f>C102-TIME(0,5,0)</f>
        <v>0.70486111111111094</v>
      </c>
      <c r="E101" s="65"/>
      <c r="F101" s="66"/>
      <c r="G101" s="139" t="str">
        <f>" "&amp;'תכנית לפי קבוצות'!$I$91</f>
        <v xml:space="preserve"> מסיבוטיקה</v>
      </c>
      <c r="H101" s="204">
        <f>מסיבוטיקה</f>
        <v>0.69444444444444453</v>
      </c>
      <c r="I101" s="31">
        <f>H102-TIME(0,5,0)</f>
        <v>0.70486111111111094</v>
      </c>
      <c r="J101" s="65"/>
      <c r="K101" s="66"/>
      <c r="L101" s="139" t="str">
        <f>" "&amp;'תכנית לפי קבוצות'!$I$91</f>
        <v xml:space="preserve"> מסיבוטיקה</v>
      </c>
      <c r="M101" s="204">
        <f>מסיבוטיקה</f>
        <v>0.69444444444444453</v>
      </c>
      <c r="N101" s="31">
        <f>M102-TIME(0,5,0)</f>
        <v>0.70486111111111094</v>
      </c>
      <c r="O101" s="65"/>
      <c r="P101" s="66"/>
      <c r="Q101" s="139" t="str">
        <f>" "&amp;'תכנית לפי קבוצות'!$I$91</f>
        <v xml:space="preserve"> מסיבוטיקה</v>
      </c>
      <c r="R101" s="204">
        <f>מסיבוטיקה</f>
        <v>0.69444444444444453</v>
      </c>
      <c r="S101" s="31">
        <f>R102-TIME(0,5,0)</f>
        <v>0.70486111111111094</v>
      </c>
      <c r="T101" s="65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</row>
    <row r="102" spans="1:31" s="69" customFormat="1" ht="19.95" customHeight="1" thickBot="1" x14ac:dyDescent="0.8">
      <c r="A102" s="66"/>
      <c r="B102" s="70" t="s">
        <v>114</v>
      </c>
      <c r="C102" s="208">
        <f>סיום</f>
        <v>0.70833333333333315</v>
      </c>
      <c r="D102" s="209">
        <f>_xlfn.XLOOKUP(N,break_scheduler['# of teams],break_scheduler[END])</f>
        <v>0.73958333333333315</v>
      </c>
      <c r="E102" s="65"/>
      <c r="F102" s="66"/>
      <c r="G102" s="70" t="s">
        <v>114</v>
      </c>
      <c r="H102" s="208">
        <f>סיום</f>
        <v>0.70833333333333315</v>
      </c>
      <c r="I102" s="209">
        <f>_xlfn.XLOOKUP(N,break_scheduler['# of teams],break_scheduler[END])</f>
        <v>0.73958333333333315</v>
      </c>
      <c r="J102" s="65"/>
      <c r="K102" s="66"/>
      <c r="L102" s="70" t="s">
        <v>114</v>
      </c>
      <c r="M102" s="208">
        <f>סיום</f>
        <v>0.70833333333333315</v>
      </c>
      <c r="N102" s="209">
        <f>_xlfn.XLOOKUP(N,break_scheduler['# of teams],break_scheduler[END])</f>
        <v>0.73958333333333315</v>
      </c>
      <c r="O102" s="65"/>
      <c r="P102" s="66"/>
      <c r="Q102" s="70" t="s">
        <v>114</v>
      </c>
      <c r="R102" s="208">
        <f>סיום</f>
        <v>0.70833333333333315</v>
      </c>
      <c r="S102" s="209">
        <f>_xlfn.XLOOKUP(N,break_scheduler['# of teams],break_scheduler[END])</f>
        <v>0.73958333333333315</v>
      </c>
      <c r="T102" s="65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</row>
    <row r="103" spans="1:31" s="69" customFormat="1" ht="43.9" customHeight="1" x14ac:dyDescent="0.65">
      <c r="A103" s="210" t="s">
        <v>186</v>
      </c>
      <c r="B103" s="62"/>
      <c r="C103" s="62"/>
      <c r="D103" s="62"/>
      <c r="E103" s="62"/>
      <c r="F103" s="210" t="s">
        <v>186</v>
      </c>
      <c r="G103" s="62"/>
      <c r="H103" s="62"/>
      <c r="I103" s="62"/>
      <c r="J103" s="62"/>
      <c r="K103" s="210" t="s">
        <v>186</v>
      </c>
      <c r="L103" s="62"/>
      <c r="M103" s="62"/>
      <c r="N103" s="62"/>
      <c r="O103" s="62"/>
      <c r="P103" s="210" t="s">
        <v>186</v>
      </c>
      <c r="Q103" s="62"/>
      <c r="R103" s="62"/>
      <c r="S103" s="62"/>
      <c r="T103" s="62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</row>
    <row r="104" spans="1:31" s="69" customFormat="1" ht="19.95" customHeight="1" x14ac:dyDescent="0.65">
      <c r="A104" s="278" t="s">
        <v>187</v>
      </c>
      <c r="B104" s="278"/>
      <c r="C104" s="278"/>
      <c r="D104" s="278"/>
      <c r="E104" s="278"/>
      <c r="F104" s="278" t="s">
        <v>187</v>
      </c>
      <c r="G104" s="278"/>
      <c r="H104" s="278"/>
      <c r="I104" s="278"/>
      <c r="J104" s="278"/>
      <c r="K104" s="278" t="s">
        <v>187</v>
      </c>
      <c r="L104" s="278"/>
      <c r="M104" s="278"/>
      <c r="N104" s="278"/>
      <c r="O104" s="278"/>
      <c r="P104" s="278" t="s">
        <v>187</v>
      </c>
      <c r="Q104" s="278"/>
      <c r="R104" s="278"/>
      <c r="S104" s="278"/>
      <c r="T104" s="278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</row>
    <row r="105" spans="1:31" s="69" customFormat="1" ht="19.95" customHeight="1" x14ac:dyDescent="0.65">
      <c r="A105" s="279" t="s">
        <v>37</v>
      </c>
      <c r="B105" s="279"/>
      <c r="C105" s="279"/>
      <c r="D105" s="279"/>
      <c r="E105" s="279"/>
      <c r="F105" s="279" t="s">
        <v>37</v>
      </c>
      <c r="G105" s="279"/>
      <c r="H105" s="279"/>
      <c r="I105" s="279"/>
      <c r="J105" s="279"/>
      <c r="K105" s="279" t="s">
        <v>37</v>
      </c>
      <c r="L105" s="279"/>
      <c r="M105" s="279"/>
      <c r="N105" s="279"/>
      <c r="O105" s="279"/>
      <c r="P105" s="279" t="s">
        <v>37</v>
      </c>
      <c r="Q105" s="279"/>
      <c r="R105" s="279"/>
      <c r="S105" s="279"/>
      <c r="T105" s="279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</row>
    <row r="106" spans="1:31" ht="19.95" customHeight="1" x14ac:dyDescent="0.65">
      <c r="B106" s="67">
        <f>B85+1</f>
        <v>6</v>
      </c>
      <c r="G106" s="67">
        <f>G85+1</f>
        <v>20</v>
      </c>
      <c r="L106" s="67">
        <f>L85+1</f>
        <v>34</v>
      </c>
      <c r="Q106" s="67">
        <f>Q85+1</f>
        <v>48</v>
      </c>
    </row>
    <row r="107" spans="1:31" ht="19.95" customHeight="1" x14ac:dyDescent="0.65"/>
    <row r="108" spans="1:31" ht="19.95" customHeight="1" x14ac:dyDescent="0.65"/>
    <row r="109" spans="1:31" ht="19.95" customHeight="1" x14ac:dyDescent="0.65"/>
    <row r="110" spans="1:31" ht="19.95" customHeight="1" x14ac:dyDescent="0.65"/>
    <row r="111" spans="1:31" ht="19.95" customHeight="1" thickBot="1" x14ac:dyDescent="0.8"/>
    <row r="112" spans="1:31" ht="19.95" customHeight="1" thickBot="1" x14ac:dyDescent="0.8">
      <c r="A112" s="66"/>
      <c r="B112" s="275" t="str">
        <f>_xlfn.XLOOKUP(B106,TeamList[מס"ד],TeamList[מס'' הקבוצה])&amp;" "&amp;_xlfn.XLOOKUP(B106,TeamList[מס"ד],TeamList[שם הקבוצה])&amp;" "&amp;_xlfn.XLOOKUP(B106,TeamList[מס"ד],TeamList[ישוב])</f>
        <v>2954 עתידים  חולון</v>
      </c>
      <c r="C112" s="276"/>
      <c r="D112" s="277"/>
      <c r="E112" s="64"/>
      <c r="F112" s="66"/>
      <c r="G112" s="275" t="str">
        <f>_xlfn.XLOOKUP(G106,TeamList[מס"ד],TeamList[מס'' הקבוצה])&amp;" "&amp;_xlfn.XLOOKUP(G106,TeamList[מס"ד],TeamList[שם הקבוצה])&amp;" "&amp;_xlfn.XLOOKUP(G106,TeamList[מס"ד],TeamList[ישוב])</f>
        <v>2222 אפרתה ירושלים</v>
      </c>
      <c r="H112" s="276"/>
      <c r="I112" s="277"/>
      <c r="J112" s="64"/>
      <c r="K112" s="66"/>
      <c r="L112" s="275" t="str">
        <f>_xlfn.XLOOKUP(L106,TeamList[מס"ד],TeamList[מס'' הקבוצה])&amp;" "&amp;_xlfn.XLOOKUP(L106,TeamList[מס"ד],TeamList[שם הקבוצה])&amp;" "&amp;_xlfn.XLOOKUP(L106,TeamList[מס"ד],TeamList[ישוב])</f>
        <v>2622 גינסבורג יבנה</v>
      </c>
      <c r="M112" s="276"/>
      <c r="N112" s="277"/>
      <c r="O112" s="64"/>
      <c r="P112" s="66"/>
      <c r="Q112" s="275" t="str">
        <f>_xlfn.XLOOKUP(Q106,TeamList[מס"ד],TeamList[מס'' הקבוצה])&amp;" "&amp;_xlfn.XLOOKUP(Q106,TeamList[מס"ד],TeamList[שם הקבוצה])&amp;" "&amp;_xlfn.XLOOKUP(Q106,TeamList[מס"ד],TeamList[ישוב])</f>
        <v>1720 אגרון ירושלים</v>
      </c>
      <c r="R112" s="276"/>
      <c r="S112" s="277"/>
      <c r="T112" s="64"/>
    </row>
    <row r="113" spans="1:31" ht="19.95" customHeight="1" thickBot="1" x14ac:dyDescent="0.8">
      <c r="A113" s="66"/>
      <c r="B113" s="63" t="s">
        <v>35</v>
      </c>
      <c r="C113" s="206" t="s">
        <v>184</v>
      </c>
      <c r="D113" s="28" t="s">
        <v>185</v>
      </c>
      <c r="E113" s="64"/>
      <c r="F113" s="66"/>
      <c r="G113" s="63" t="s">
        <v>35</v>
      </c>
      <c r="H113" s="206" t="s">
        <v>184</v>
      </c>
      <c r="I113" s="28" t="s">
        <v>185</v>
      </c>
      <c r="J113" s="64"/>
      <c r="K113" s="66"/>
      <c r="L113" s="63" t="s">
        <v>35</v>
      </c>
      <c r="M113" s="206" t="s">
        <v>184</v>
      </c>
      <c r="N113" s="28" t="s">
        <v>185</v>
      </c>
      <c r="O113" s="64"/>
      <c r="P113" s="66"/>
      <c r="Q113" s="63" t="s">
        <v>35</v>
      </c>
      <c r="R113" s="206" t="s">
        <v>184</v>
      </c>
      <c r="S113" s="28" t="s">
        <v>185</v>
      </c>
      <c r="T113" s="64"/>
    </row>
    <row r="114" spans="1:31" ht="19.95" customHeight="1" x14ac:dyDescent="0.65">
      <c r="A114" s="66"/>
      <c r="B114" s="207" t="s">
        <v>113</v>
      </c>
      <c r="C114" s="205">
        <f>Opening</f>
        <v>0.41666666666666669</v>
      </c>
      <c r="D114" s="29">
        <f>C114+TIME(0,25,0)</f>
        <v>0.43402777777777779</v>
      </c>
      <c r="E114" s="74"/>
      <c r="F114" s="66"/>
      <c r="G114" s="207" t="s">
        <v>113</v>
      </c>
      <c r="H114" s="205">
        <f>Opening</f>
        <v>0.41666666666666669</v>
      </c>
      <c r="I114" s="29">
        <f>H114+TIME(0,25,0)</f>
        <v>0.43402777777777779</v>
      </c>
      <c r="J114" s="74"/>
      <c r="K114" s="66"/>
      <c r="L114" s="207" t="s">
        <v>113</v>
      </c>
      <c r="M114" s="205">
        <f>Opening</f>
        <v>0.41666666666666669</v>
      </c>
      <c r="N114" s="29">
        <f>M114+TIME(0,25,0)</f>
        <v>0.43402777777777779</v>
      </c>
      <c r="O114" s="74"/>
      <c r="P114" s="66"/>
      <c r="Q114" s="207" t="s">
        <v>113</v>
      </c>
      <c r="R114" s="205">
        <f>Opening</f>
        <v>0.41666666666666669</v>
      </c>
      <c r="S114" s="29">
        <f>R114+TIME(0,25,0)</f>
        <v>0.43402777777777779</v>
      </c>
      <c r="T114" s="74"/>
    </row>
    <row r="115" spans="1:31" ht="19.95" customHeight="1" x14ac:dyDescent="0.65">
      <c r="A115" s="66"/>
      <c r="B115" s="30" t="str">
        <f>CONCATENATE(" חדר שיפוט ",_xlfn.XLOOKUP(B106,TeamList[מס"ד],TeamList[חדר שיפוט]))</f>
        <v xml:space="preserve"> חדר שיפוט 6 אדום</v>
      </c>
      <c r="C115" s="204">
        <f>_xlfn.XLOOKUP(B106,TimeTable[מס"ד],TimeTable[שעת שיפוט])</f>
        <v>0.36458333333333331</v>
      </c>
      <c r="D115" s="31">
        <f>C115+JS</f>
        <v>0.3833333333333333</v>
      </c>
      <c r="E115" s="75"/>
      <c r="F115" s="66"/>
      <c r="G115" s="30" t="str">
        <f>CONCATENATE(" חדר שיפוט ",_xlfn.XLOOKUP(G106,TeamList[מס"ד],TeamList[חדר שיפוט]))</f>
        <v xml:space="preserve"> חדר שיפוט 6 אדום</v>
      </c>
      <c r="H115" s="204">
        <f>_xlfn.XLOOKUP(G106,TimeTable[מס"ד],TimeTable[שעת שיפוט])</f>
        <v>0.4375</v>
      </c>
      <c r="I115" s="31">
        <f>H115+JS</f>
        <v>0.45624999999999999</v>
      </c>
      <c r="J115" s="75"/>
      <c r="K115" s="66"/>
      <c r="L115" s="30" t="str">
        <f>CONCATENATE(" חדר שיפוט ",_xlfn.XLOOKUP(L106,TeamList[מס"ד],TeamList[חדר שיפוט]))</f>
        <v xml:space="preserve"> חדר שיפוט 6 אדום</v>
      </c>
      <c r="M115" s="204">
        <f>_xlfn.XLOOKUP(L106,TimeTable[מס"ד],TimeTable[שעת שיפוט])</f>
        <v>0.5</v>
      </c>
      <c r="N115" s="31">
        <f>M115+JS</f>
        <v>0.51875000000000004</v>
      </c>
      <c r="O115" s="75"/>
      <c r="P115" s="66"/>
      <c r="Q115" s="30" t="str">
        <f>CONCATENATE(" חדר שיפוט ",_xlfn.XLOOKUP(Q106,TeamList[מס"ד],TeamList[חדר שיפוט]))</f>
        <v xml:space="preserve"> חדר שיפוט 6 אדום</v>
      </c>
      <c r="R115" s="204">
        <f>_xlfn.XLOOKUP(Q106,TimeTable[מס"ד],TimeTable[שעת שיפוט])</f>
        <v>0.59374999999999989</v>
      </c>
      <c r="S115" s="31">
        <f>R115+JS</f>
        <v>0.61249999999999993</v>
      </c>
      <c r="T115" s="75"/>
    </row>
    <row r="116" spans="1:31" ht="19.95" customHeight="1" x14ac:dyDescent="0.65">
      <c r="A116" s="77" t="str">
        <f>_xlfn.XLOOKUP(B106,TimeTable[מס"ד],TimeTable[שולחן הרצת אימון])</f>
        <v>6 אדום</v>
      </c>
      <c r="B116" s="30" t="str">
        <f>" מקצה אימונים - שולחן "&amp;A116&amp;" כניסה "&amp;IF(COUNTIF('תכנית לפי קבוצות'!$AA$3:$AA$6,A116)&gt;0,"א'","ב'")</f>
        <v xml:space="preserve"> מקצה אימונים - שולחן 6 אדום כניסה ב'</v>
      </c>
      <c r="C116" s="204">
        <f>_xlfn.XLOOKUP(B106,TimeTable[מס"ד],TimeTable[שעת הרצת אימון])</f>
        <v>0.40208333333333324</v>
      </c>
      <c r="D116" s="31">
        <f>C116+TIME(0,3,0)</f>
        <v>0.40416666666666656</v>
      </c>
      <c r="E116" s="76"/>
      <c r="F116" s="77" t="str">
        <f>_xlfn.XLOOKUP(G106,TimeTable[מס"ד],TimeTable[שולחן הרצת אימון])</f>
        <v>7 אדום</v>
      </c>
      <c r="G116" s="30" t="str">
        <f>" מקצה אימונים - שולחן "&amp;F116&amp;" כניסה "&amp;IF(COUNTIF('תכנית לפי קבוצות'!$AA$3:$AA$6,F116)&gt;0,"א'","ב'")</f>
        <v xml:space="preserve"> מקצה אימונים - שולחן 7 אדום כניסה ב'</v>
      </c>
      <c r="H116" s="204">
        <f>_xlfn.XLOOKUP(G106,TimeTable[מס"ד],TimeTable[שעת הרצת אימון])</f>
        <v>0.37708333333333327</v>
      </c>
      <c r="I116" s="31">
        <f>H116+TIME(0,3,0)</f>
        <v>0.3791666666666666</v>
      </c>
      <c r="J116" s="76"/>
      <c r="K116" s="77" t="str">
        <f>_xlfn.XLOOKUP(L106,TimeTable[מס"ד],TimeTable[שולחן הרצת אימון])</f>
        <v>7 אדום</v>
      </c>
      <c r="L116" s="30" t="str">
        <f>" מקצה אימונים - שולחן "&amp;K116&amp;" כניסה "&amp;IF(COUNTIF('תכנית לפי קבוצות'!$AA$3:$AA$6,K116)&gt;0,"א'","ב'")</f>
        <v xml:space="preserve"> מקצה אימונים - שולחן 7 אדום כניסה ב'</v>
      </c>
      <c r="M116" s="204">
        <f>_xlfn.XLOOKUP(L106,TimeTable[מס"ד],TimeTable[שעת הרצת אימון])</f>
        <v>0.38541666666666663</v>
      </c>
      <c r="N116" s="31">
        <f>M116+TIME(0,3,0)</f>
        <v>0.38749999999999996</v>
      </c>
      <c r="O116" s="76"/>
      <c r="P116" s="77" t="str">
        <f>_xlfn.XLOOKUP(Q106,TimeTable[מס"ד],TimeTable[שולחן הרצת אימון])</f>
        <v>8 אדום</v>
      </c>
      <c r="Q116" s="30" t="str">
        <f>" מקצה אימונים - שולחן "&amp;P116&amp;" כניסה "&amp;IF(COUNTIF('תכנית לפי קבוצות'!$AA$3:$AA$6,P116)&gt;0,"א'","ב'")</f>
        <v xml:space="preserve"> מקצה אימונים - שולחן 8 אדום כניסה ב'</v>
      </c>
      <c r="R116" s="204">
        <f>_xlfn.XLOOKUP(Q106,TimeTable[מס"ד],TimeTable[שעת הרצת אימון])</f>
        <v>0.4104166666666666</v>
      </c>
      <c r="S116" s="31">
        <f>R116+TIME(0,3,0)</f>
        <v>0.41249999999999992</v>
      </c>
      <c r="T116" s="76"/>
    </row>
    <row r="117" spans="1:31" ht="19.95" customHeight="1" x14ac:dyDescent="0.65">
      <c r="A117" s="66" t="str">
        <f>_xlfn.XLOOKUP(B106,TimeTable[מס"ד],TimeTable[שולחן הרצה 1])</f>
        <v>3 אדום</v>
      </c>
      <c r="B117" s="30" t="str">
        <f>" מקצה 1 - שולחן "&amp;A117&amp;" כניסה "&amp;IF(COUNTIF('תכנית לפי קבוצות'!$AA$3:$AA$6,A117)&gt;0,"א'","ב'")</f>
        <v xml:space="preserve"> מקצה 1 - שולחן 3 אדום כניסה א'</v>
      </c>
      <c r="C117" s="204">
        <f>_xlfn.XLOOKUP(B106,TimeTable[מס"ד],TimeTable[שעת הרצה 1])</f>
        <v>0.45486111111111077</v>
      </c>
      <c r="D117" s="31">
        <f t="shared" ref="D117:D119" si="40">C117+TIME(0,3,0)</f>
        <v>0.4569444444444441</v>
      </c>
      <c r="E117" s="76"/>
      <c r="F117" s="66" t="str">
        <f>_xlfn.XLOOKUP(G106,TimeTable[מס"ד],TimeTable[שולחן הרצה 1])</f>
        <v>2 אדום</v>
      </c>
      <c r="G117" s="30" t="str">
        <f>" מקצה 1 - שולחן "&amp;F117&amp;" כניסה "&amp;IF(COUNTIF('תכנית לפי קבוצות'!$AA$3:$AA$6,F117)&gt;0,"א'","ב'")</f>
        <v xml:space="preserve"> מקצה 1 - שולחן 2 אדום כניסה א'</v>
      </c>
      <c r="H117" s="204">
        <f>_xlfn.XLOOKUP(G106,TimeTable[מס"ד],TimeTable[שעת הרצה 1])</f>
        <v>0.47569444444444403</v>
      </c>
      <c r="I117" s="31">
        <f t="shared" ref="I117:I119" si="41">H117+TIME(0,3,0)</f>
        <v>0.47777777777777736</v>
      </c>
      <c r="J117" s="76"/>
      <c r="K117" s="66" t="str">
        <f>_xlfn.XLOOKUP(L106,TimeTable[מס"ד],TimeTable[שולחן הרצה 1])</f>
        <v>7 אדום</v>
      </c>
      <c r="L117" s="30" t="str">
        <f>" מקצה 1 - שולחן "&amp;K117&amp;" כניסה "&amp;IF(COUNTIF('תכנית לפי קבוצות'!$AA$3:$AA$6,K117)&gt;0,"א'","ב'")</f>
        <v xml:space="preserve"> מקצה 1 - שולחן 7 אדום כניסה ב'</v>
      </c>
      <c r="M117" s="204">
        <f>_xlfn.XLOOKUP(L106,TimeTable[מס"ד],TimeTable[שעת הרצה 1])</f>
        <v>0.4652777777777774</v>
      </c>
      <c r="N117" s="31">
        <f t="shared" ref="N117:N119" si="42">M117+TIME(0,3,0)</f>
        <v>0.46736111111111073</v>
      </c>
      <c r="O117" s="76"/>
      <c r="P117" s="66" t="str">
        <f>_xlfn.XLOOKUP(Q106,TimeTable[מס"ד],TimeTable[שולחן הרצה 1])</f>
        <v>6 אדום</v>
      </c>
      <c r="Q117" s="30" t="str">
        <f>" מקצה 1 - שולחן "&amp;P117&amp;" כניסה "&amp;IF(COUNTIF('תכנית לפי קבוצות'!$AA$3:$AA$6,P117)&gt;0,"א'","ב'")</f>
        <v xml:space="preserve"> מקצה 1 - שולחן 6 אדום כניסה ב'</v>
      </c>
      <c r="R117" s="204">
        <f>_xlfn.XLOOKUP(Q106,TimeTable[מס"ד],TimeTable[שעת הרצה 1])</f>
        <v>0.47222222222222182</v>
      </c>
      <c r="S117" s="31">
        <f t="shared" ref="S117:S119" si="43">R117+TIME(0,3,0)</f>
        <v>0.47430555555555515</v>
      </c>
      <c r="T117" s="76"/>
    </row>
    <row r="118" spans="1:31" ht="19.95" customHeight="1" x14ac:dyDescent="0.65">
      <c r="A118" s="66" t="str">
        <f>_xlfn.XLOOKUP(B106,TimeTable[מס"ד],TimeTable[שולחן הרצה 2])</f>
        <v>3 אדום</v>
      </c>
      <c r="B118" s="30" t="str">
        <f>" מקצה 2 - שולחן "&amp;A118&amp;" כניסה "&amp;IF(COUNTIF('תכנית לפי קבוצות'!$AA$3:$AA$6,A118)&gt;0,"א'","ב'")</f>
        <v xml:space="preserve"> מקצה 2 - שולחן 3 אדום כניסה א'</v>
      </c>
      <c r="C118" s="204">
        <f>_xlfn.XLOOKUP(B106,TimeTable[מס"ד],TimeTable[שעת הרצה 2])</f>
        <v>0.52083333333333282</v>
      </c>
      <c r="D118" s="31">
        <f t="shared" si="40"/>
        <v>0.52291666666666614</v>
      </c>
      <c r="E118" s="76"/>
      <c r="F118" s="66" t="str">
        <f>_xlfn.XLOOKUP(G106,TimeTable[מס"ד],TimeTable[שולחן הרצה 2])</f>
        <v>2 אדום</v>
      </c>
      <c r="G118" s="30" t="str">
        <f>" מקצה 2 - שולחן "&amp;F118&amp;" כניסה "&amp;IF(COUNTIF('תכנית לפי קבוצות'!$AA$3:$AA$6,F118)&gt;0,"א'","ב'")</f>
        <v xml:space="preserve"> מקצה 2 - שולחן 2 אדום כניסה א'</v>
      </c>
      <c r="H118" s="204">
        <f>_xlfn.XLOOKUP(G106,TimeTable[מס"ד],TimeTable[שעת הרצה 2])</f>
        <v>0.52777777777777724</v>
      </c>
      <c r="I118" s="31">
        <f t="shared" si="41"/>
        <v>0.52986111111111056</v>
      </c>
      <c r="J118" s="76"/>
      <c r="K118" s="66" t="str">
        <f>_xlfn.XLOOKUP(L106,TimeTable[מס"ד],TimeTable[שולחן הרצה 2])</f>
        <v>5 אדום</v>
      </c>
      <c r="L118" s="30" t="str">
        <f>" מקצה 2 - שולחן "&amp;K118&amp;" כניסה "&amp;IF(COUNTIF('תכנית לפי קבוצות'!$AA$3:$AA$6,K118)&gt;0,"א'","ב'")</f>
        <v xml:space="preserve"> מקצה 2 - שולחן 5 אדום כניסה ב'</v>
      </c>
      <c r="M118" s="204">
        <f>_xlfn.XLOOKUP(L106,TimeTable[מס"ד],TimeTable[שעת הרצה 2])</f>
        <v>0.54513888888888828</v>
      </c>
      <c r="N118" s="31">
        <f t="shared" si="42"/>
        <v>0.54722222222222161</v>
      </c>
      <c r="O118" s="76"/>
      <c r="P118" s="66" t="str">
        <f>_xlfn.XLOOKUP(Q106,TimeTable[מס"ד],TimeTable[שולחן הרצה 2])</f>
        <v>5 אדום</v>
      </c>
      <c r="Q118" s="30" t="str">
        <f>" מקצה 2 - שולחן "&amp;P118&amp;" כניסה "&amp;IF(COUNTIF('תכנית לפי קבוצות'!$AA$3:$AA$6,P118)&gt;0,"א'","ב'")</f>
        <v xml:space="preserve"> מקצה 2 - שולחן 5 אדום כניסה ב'</v>
      </c>
      <c r="R118" s="204">
        <f>_xlfn.XLOOKUP(Q106,TimeTable[מס"ד],TimeTable[שעת הרצה 2])</f>
        <v>0.5520833333333327</v>
      </c>
      <c r="S118" s="31">
        <f t="shared" si="43"/>
        <v>0.55416666666666603</v>
      </c>
      <c r="T118" s="76"/>
    </row>
    <row r="119" spans="1:31" ht="19.95" customHeight="1" x14ac:dyDescent="0.65">
      <c r="A119" s="66" t="str">
        <f>_xlfn.XLOOKUP(B106,TimeTable[מס"ד],TimeTable[שולחן הרצה 3])</f>
        <v>5 אדום</v>
      </c>
      <c r="B119" s="30" t="str">
        <f>" מקצה 3 - שולחן "&amp;A119&amp;" כניסה "&amp;IF(COUNTIF('תכנית לפי קבוצות'!$AA$3:$AA$6,A119)&gt;0,"א'","ב'")</f>
        <v xml:space="preserve"> מקצה 3 - שולחן 5 אדום כניסה ב'</v>
      </c>
      <c r="C119" s="204">
        <f>_xlfn.XLOOKUP(B106,TimeTable[מס"ד],TimeTable[שעת הרצה 3])</f>
        <v>0.59374999999999922</v>
      </c>
      <c r="D119" s="31">
        <f t="shared" si="40"/>
        <v>0.59583333333333255</v>
      </c>
      <c r="E119" s="76"/>
      <c r="F119" s="66" t="str">
        <f>_xlfn.XLOOKUP(G106,TimeTable[מס"ד],TimeTable[שולחן הרצה 3])</f>
        <v>3 אדום</v>
      </c>
      <c r="G119" s="30" t="str">
        <f>" מקצה 3 - שולחן "&amp;F119&amp;" כניסה "&amp;IF(COUNTIF('תכנית לפי קבוצות'!$AA$3:$AA$6,F119)&gt;0,"א'","ב'")</f>
        <v xml:space="preserve"> מקצה 3 - שולחן 3 אדום כניסה א'</v>
      </c>
      <c r="H119" s="204">
        <f>_xlfn.XLOOKUP(G106,TimeTable[מס"ד],TimeTable[שעת הרצה 3])</f>
        <v>0.60416666666666585</v>
      </c>
      <c r="I119" s="31">
        <f t="shared" si="41"/>
        <v>0.60624999999999918</v>
      </c>
      <c r="J119" s="76"/>
      <c r="K119" s="66" t="str">
        <f>_xlfn.XLOOKUP(L106,TimeTable[מס"ד],TimeTable[שולחן הרצה 3])</f>
        <v>1 אדום</v>
      </c>
      <c r="L119" s="30" t="str">
        <f>" מקצה 3 - שולחן "&amp;K119&amp;" כניסה "&amp;IF(COUNTIF('תכנית לפי קבוצות'!$AA$3:$AA$6,K119)&gt;0,"א'","ב'")</f>
        <v xml:space="preserve"> מקצה 3 - שולחן 1 אדום כניסה א'</v>
      </c>
      <c r="M119" s="204">
        <f>_xlfn.XLOOKUP(L106,TimeTable[מס"ד],TimeTable[שעת הרצה 3])</f>
        <v>0.61805555555555469</v>
      </c>
      <c r="N119" s="31">
        <f t="shared" si="42"/>
        <v>0.62013888888888802</v>
      </c>
      <c r="O119" s="76"/>
      <c r="P119" s="66" t="str">
        <f>_xlfn.XLOOKUP(Q106,TimeTable[מס"ד],TimeTable[שולחן הרצה 3])</f>
        <v>7 אדום</v>
      </c>
      <c r="Q119" s="30" t="str">
        <f>" מקצה 3 - שולחן "&amp;P119&amp;" כניסה "&amp;IF(COUNTIF('תכנית לפי קבוצות'!$AA$3:$AA$6,P119)&gt;0,"א'","ב'")</f>
        <v xml:space="preserve"> מקצה 3 - שולחן 7 אדום כניסה ב'</v>
      </c>
      <c r="R119" s="204">
        <f>_xlfn.XLOOKUP(Q106,TimeTable[מס"ד],TimeTable[שעת הרצה 3])</f>
        <v>0.62847222222222132</v>
      </c>
      <c r="S119" s="31">
        <f t="shared" si="43"/>
        <v>0.63055555555555465</v>
      </c>
      <c r="T119" s="76"/>
    </row>
    <row r="120" spans="1:31" s="69" customFormat="1" ht="19.95" customHeight="1" x14ac:dyDescent="0.65">
      <c r="A120" s="203">
        <f>pits+TIME(2,0,0)</f>
        <v>8.3333333333333329E-2</v>
      </c>
      <c r="B120" s="30" t="s">
        <v>192</v>
      </c>
      <c r="C120" s="204"/>
      <c r="D120" s="31"/>
      <c r="E120" s="75"/>
      <c r="F120" s="203">
        <f>pits+TIME(2,0,0)</f>
        <v>8.3333333333333329E-2</v>
      </c>
      <c r="G120" s="30" t="s">
        <v>192</v>
      </c>
      <c r="H120" s="204"/>
      <c r="I120" s="31"/>
      <c r="J120" s="75"/>
      <c r="K120" s="203">
        <f>pits+TIME(2,0,0)</f>
        <v>8.3333333333333329E-2</v>
      </c>
      <c r="L120" s="30" t="s">
        <v>192</v>
      </c>
      <c r="M120" s="204"/>
      <c r="N120" s="31"/>
      <c r="O120" s="75"/>
      <c r="P120" s="203">
        <f>pits+TIME(2,0,0)</f>
        <v>8.3333333333333329E-2</v>
      </c>
      <c r="Q120" s="30" t="s">
        <v>192</v>
      </c>
      <c r="R120" s="204"/>
      <c r="S120" s="31"/>
      <c r="T120" s="75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</row>
    <row r="121" spans="1:31" s="69" customFormat="1" ht="19.95" customHeight="1" x14ac:dyDescent="0.65">
      <c r="A121" s="77" t="str">
        <f>_xlfn.XLOOKUP(B106,TimeTable[מס"ד],TimeTable[שולחן הרצת טורניר])</f>
        <v>5 אדום</v>
      </c>
      <c r="B121" s="30" t="str">
        <f>" טורניר ידידות - שולחן "&amp;A121&amp;" כניסה "&amp;IF(COUNTIF('תכנית לפי קבוצות'!$AA$3:$AA$6,A121)&gt;0,"א'","ב'")&amp;", עם קבוצה "&amp;_xlfn.XLOOKUP(B106,TeamList2[מס"ד],TeamList2[מס'' הקבוצה])</f>
        <v xml:space="preserve"> טורניר ידידות - שולחן 5 אדום כניסה ב', עם קבוצה 72</v>
      </c>
      <c r="C121" s="204">
        <f>_xlfn.XLOOKUP(_xlfn.XLOOKUP(B106,TeamList[מס"ד],TeamList[מס'' הקבוצה]),Table135[קבוצה],Table135[שעה])</f>
        <v>0.68402777777777768</v>
      </c>
      <c r="D121" s="31">
        <f t="shared" ref="D121" si="44">C121+TIME(0,3,0)</f>
        <v>0.68611111111111101</v>
      </c>
      <c r="E121" s="75"/>
      <c r="F121" s="77" t="str">
        <f>_xlfn.XLOOKUP(G106,TimeTable[מס"ד],TimeTable[שולחן הרצת טורניר])</f>
        <v>6 כחול</v>
      </c>
      <c r="G121" s="30" t="str">
        <f>" טורניר ידידות - שולחן "&amp;F121&amp;" כניסה "&amp;IF(COUNTIF('תכנית לפי קבוצות'!$AA$3:$AA$6,F121)&gt;0,"א'","ב'")&amp;", עם קבוצה "&amp;_xlfn.XLOOKUP(G106,TeamList2[מס"ד],TeamList2[מס'' הקבוצה])</f>
        <v xml:space="preserve"> טורניר ידידות - שולחן 6 כחול כניסה ב', עם קבוצה 3140</v>
      </c>
      <c r="H121" s="204">
        <f>_xlfn.XLOOKUP(_xlfn.XLOOKUP(G106,TeamList[מס"ד],TeamList[מס'' הקבוצה]),Table135[קבוצה],Table135[שעה])</f>
        <v>0.67013888888888884</v>
      </c>
      <c r="I121" s="31">
        <f t="shared" ref="I121" si="45">H121+TIME(0,3,0)</f>
        <v>0.67222222222222217</v>
      </c>
      <c r="J121" s="75"/>
      <c r="K121" s="77" t="str">
        <f>_xlfn.XLOOKUP(L106,TimeTable[מס"ד],TimeTable[שולחן הרצת טורניר])</f>
        <v>7 כחול</v>
      </c>
      <c r="L121" s="30" t="str">
        <f>" טורניר ידידות - שולחן "&amp;K121&amp;" כניסה "&amp;IF(COUNTIF('תכנית לפי קבוצות'!$AA$3:$AA$6,K121)&gt;0,"א'","ב'")&amp;", עם קבוצה "&amp;_xlfn.XLOOKUP(L106,TeamList2[מס"ד],TeamList2[מס'' הקבוצה])</f>
        <v xml:space="preserve"> טורניר ידידות - שולחן 7 כחול כניסה ב', עם קבוצה 771</v>
      </c>
      <c r="M121" s="204">
        <f>_xlfn.XLOOKUP(_xlfn.XLOOKUP(L106,TeamList[מס"ד],TeamList[מס'' הקבוצה]),Table135[קבוצה],Table135[שעה])</f>
        <v>0.67708333333333326</v>
      </c>
      <c r="N121" s="31">
        <f t="shared" ref="N121" si="46">M121+TIME(0,3,0)</f>
        <v>0.67916666666666659</v>
      </c>
      <c r="O121" s="75"/>
      <c r="P121" s="203">
        <f>pits+TIME(2,0,0)</f>
        <v>8.3333333333333329E-2</v>
      </c>
      <c r="Q121" s="30" t="s">
        <v>192</v>
      </c>
      <c r="R121" s="204">
        <f>_xlfn.XLOOKUP(_xlfn.XLOOKUP(Q106,TeamList[מס"ד],TeamList[מס'' הקבוצה]),Table135[קבוצה],Table135[שעה])</f>
        <v>0.68402777777777768</v>
      </c>
      <c r="S121" s="31">
        <f t="shared" ref="S121" si="47">R121+TIME(0,3,0)</f>
        <v>0.68611111111111101</v>
      </c>
      <c r="T121" s="75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</row>
    <row r="122" spans="1:31" s="69" customFormat="1" ht="19.95" customHeight="1" x14ac:dyDescent="0.65">
      <c r="A122" s="66"/>
      <c r="B122" s="139" t="str">
        <f>" "&amp;'תכנית לפי קבוצות'!$I$91</f>
        <v xml:space="preserve"> מסיבוטיקה</v>
      </c>
      <c r="C122" s="204">
        <f>מסיבוטיקה</f>
        <v>0.69444444444444453</v>
      </c>
      <c r="D122" s="31">
        <f>C123-TIME(0,5,0)</f>
        <v>0.70486111111111094</v>
      </c>
      <c r="E122" s="65"/>
      <c r="F122" s="66"/>
      <c r="G122" s="139" t="str">
        <f>" "&amp;'תכנית לפי קבוצות'!$I$91</f>
        <v xml:space="preserve"> מסיבוטיקה</v>
      </c>
      <c r="H122" s="204">
        <f>מסיבוטיקה</f>
        <v>0.69444444444444453</v>
      </c>
      <c r="I122" s="31">
        <f>H123-TIME(0,5,0)</f>
        <v>0.70486111111111094</v>
      </c>
      <c r="J122" s="65"/>
      <c r="K122" s="66"/>
      <c r="L122" s="139" t="str">
        <f>" "&amp;'תכנית לפי קבוצות'!$I$91</f>
        <v xml:space="preserve"> מסיבוטיקה</v>
      </c>
      <c r="M122" s="204">
        <f>מסיבוטיקה</f>
        <v>0.69444444444444453</v>
      </c>
      <c r="N122" s="31">
        <f>M123-TIME(0,5,0)</f>
        <v>0.70486111111111094</v>
      </c>
      <c r="O122" s="65"/>
      <c r="P122" s="66"/>
      <c r="Q122" s="139" t="str">
        <f>" "&amp;'תכנית לפי קבוצות'!$I$91</f>
        <v xml:space="preserve"> מסיבוטיקה</v>
      </c>
      <c r="R122" s="204">
        <f>מסיבוטיקה</f>
        <v>0.69444444444444453</v>
      </c>
      <c r="S122" s="31">
        <f>R123-TIME(0,5,0)</f>
        <v>0.70486111111111094</v>
      </c>
      <c r="T122" s="65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</row>
    <row r="123" spans="1:31" s="69" customFormat="1" ht="19.95" customHeight="1" thickBot="1" x14ac:dyDescent="0.8">
      <c r="A123" s="66"/>
      <c r="B123" s="70" t="s">
        <v>114</v>
      </c>
      <c r="C123" s="208">
        <f>סיום</f>
        <v>0.70833333333333315</v>
      </c>
      <c r="D123" s="209">
        <f>_xlfn.XLOOKUP(N,break_scheduler['# of teams],break_scheduler[END])</f>
        <v>0.73958333333333315</v>
      </c>
      <c r="E123" s="65"/>
      <c r="F123" s="66"/>
      <c r="G123" s="70" t="s">
        <v>114</v>
      </c>
      <c r="H123" s="208">
        <f>סיום</f>
        <v>0.70833333333333315</v>
      </c>
      <c r="I123" s="209">
        <f>_xlfn.XLOOKUP(N,break_scheduler['# of teams],break_scheduler[END])</f>
        <v>0.73958333333333315</v>
      </c>
      <c r="J123" s="65"/>
      <c r="K123" s="66"/>
      <c r="L123" s="70" t="s">
        <v>114</v>
      </c>
      <c r="M123" s="208">
        <f>סיום</f>
        <v>0.70833333333333315</v>
      </c>
      <c r="N123" s="209">
        <f>_xlfn.XLOOKUP(N,break_scheduler['# of teams],break_scheduler[END])</f>
        <v>0.73958333333333315</v>
      </c>
      <c r="O123" s="65"/>
      <c r="P123" s="66"/>
      <c r="Q123" s="70" t="s">
        <v>114</v>
      </c>
      <c r="R123" s="208">
        <f>סיום</f>
        <v>0.70833333333333315</v>
      </c>
      <c r="S123" s="209">
        <f>_xlfn.XLOOKUP(N,break_scheduler['# of teams],break_scheduler[END])</f>
        <v>0.73958333333333315</v>
      </c>
      <c r="T123" s="65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</row>
    <row r="124" spans="1:31" s="69" customFormat="1" ht="43.9" customHeight="1" x14ac:dyDescent="0.65">
      <c r="A124" s="210" t="s">
        <v>186</v>
      </c>
      <c r="B124" s="62"/>
      <c r="C124" s="62"/>
      <c r="D124" s="62"/>
      <c r="E124" s="62"/>
      <c r="F124" s="210" t="s">
        <v>186</v>
      </c>
      <c r="G124" s="62"/>
      <c r="H124" s="62"/>
      <c r="I124" s="62"/>
      <c r="J124" s="62"/>
      <c r="K124" s="210" t="s">
        <v>186</v>
      </c>
      <c r="L124" s="62"/>
      <c r="M124" s="62"/>
      <c r="N124" s="62"/>
      <c r="O124" s="62"/>
      <c r="P124" s="210" t="s">
        <v>186</v>
      </c>
      <c r="Q124" s="62"/>
      <c r="R124" s="62"/>
      <c r="S124" s="62"/>
      <c r="T124" s="62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</row>
    <row r="125" spans="1:31" s="69" customFormat="1" ht="19.95" customHeight="1" x14ac:dyDescent="0.65">
      <c r="A125" s="278" t="s">
        <v>187</v>
      </c>
      <c r="B125" s="278"/>
      <c r="C125" s="278"/>
      <c r="D125" s="278"/>
      <c r="E125" s="278"/>
      <c r="F125" s="278" t="s">
        <v>187</v>
      </c>
      <c r="G125" s="278"/>
      <c r="H125" s="278"/>
      <c r="I125" s="278"/>
      <c r="J125" s="278"/>
      <c r="K125" s="278" t="s">
        <v>187</v>
      </c>
      <c r="L125" s="278"/>
      <c r="M125" s="278"/>
      <c r="N125" s="278"/>
      <c r="O125" s="278"/>
      <c r="P125" s="278" t="s">
        <v>187</v>
      </c>
      <c r="Q125" s="278"/>
      <c r="R125" s="278"/>
      <c r="S125" s="278"/>
      <c r="T125" s="278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</row>
    <row r="126" spans="1:31" s="69" customFormat="1" ht="19.95" customHeight="1" x14ac:dyDescent="0.65">
      <c r="A126" s="279" t="s">
        <v>37</v>
      </c>
      <c r="B126" s="279"/>
      <c r="C126" s="279"/>
      <c r="D126" s="279"/>
      <c r="E126" s="279"/>
      <c r="F126" s="279" t="s">
        <v>37</v>
      </c>
      <c r="G126" s="279"/>
      <c r="H126" s="279"/>
      <c r="I126" s="279"/>
      <c r="J126" s="279"/>
      <c r="K126" s="279" t="s">
        <v>37</v>
      </c>
      <c r="L126" s="279"/>
      <c r="M126" s="279"/>
      <c r="N126" s="279"/>
      <c r="O126" s="279"/>
      <c r="P126" s="279" t="s">
        <v>37</v>
      </c>
      <c r="Q126" s="279"/>
      <c r="R126" s="279"/>
      <c r="S126" s="279"/>
      <c r="T126" s="279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</row>
    <row r="127" spans="1:31" ht="19.95" customHeight="1" x14ac:dyDescent="0.65">
      <c r="B127" s="67">
        <f>B106+1</f>
        <v>7</v>
      </c>
      <c r="G127" s="67">
        <f>G106+1</f>
        <v>21</v>
      </c>
      <c r="L127" s="67">
        <f>L106+1</f>
        <v>35</v>
      </c>
      <c r="P127"/>
      <c r="Q127"/>
      <c r="R127"/>
      <c r="S127"/>
      <c r="T127"/>
    </row>
    <row r="128" spans="1:31" ht="19.95" customHeight="1" x14ac:dyDescent="0.65">
      <c r="P128"/>
      <c r="Q128"/>
      <c r="R128"/>
      <c r="S128"/>
      <c r="T128"/>
    </row>
    <row r="129" spans="1:31" ht="19.95" customHeight="1" x14ac:dyDescent="0.65">
      <c r="P129"/>
      <c r="Q129"/>
      <c r="R129"/>
      <c r="S129"/>
      <c r="T129"/>
    </row>
    <row r="130" spans="1:31" ht="19.95" customHeight="1" x14ac:dyDescent="0.65">
      <c r="P130"/>
      <c r="Q130"/>
      <c r="R130"/>
      <c r="S130"/>
      <c r="T130"/>
    </row>
    <row r="131" spans="1:31" ht="19.95" customHeight="1" x14ac:dyDescent="0.65">
      <c r="P131"/>
      <c r="Q131"/>
      <c r="R131"/>
      <c r="S131"/>
      <c r="T131"/>
    </row>
    <row r="132" spans="1:31" ht="19.95" customHeight="1" thickBot="1" x14ac:dyDescent="0.8">
      <c r="P132"/>
      <c r="Q132"/>
      <c r="R132"/>
      <c r="S132"/>
      <c r="T132"/>
    </row>
    <row r="133" spans="1:31" ht="19.95" customHeight="1" thickBot="1" x14ac:dyDescent="0.8">
      <c r="A133" s="66"/>
      <c r="B133" s="275" t="str">
        <f>_xlfn.XLOOKUP(B127,TeamList[מס"ד],TeamList[מס'' הקבוצה])&amp;" "&amp;_xlfn.XLOOKUP(B127,TeamList[מס"ד],TeamList[שם הקבוצה])&amp;" "&amp;_xlfn.XLOOKUP(B127,TeamList[מס"ד],TeamList[ישוב])</f>
        <v>2623 גינסבורג יבנה</v>
      </c>
      <c r="C133" s="276"/>
      <c r="D133" s="277"/>
      <c r="E133" s="64"/>
      <c r="F133" s="66"/>
      <c r="G133" s="275" t="str">
        <f>_xlfn.XLOOKUP(G127,TeamList[מס"ד],TeamList[מס'' הקבוצה])&amp;" "&amp;_xlfn.XLOOKUP(G127,TeamList[מס"ד],TeamList[שם הקבוצה])&amp;" "&amp;_xlfn.XLOOKUP(G127,TeamList[מס"ד],TeamList[ישוב])</f>
        <v>3181 פלך בנים ירושלים</v>
      </c>
      <c r="H133" s="276"/>
      <c r="I133" s="277"/>
      <c r="J133" s="64"/>
      <c r="K133" s="66"/>
      <c r="L133" s="275" t="str">
        <f>_xlfn.XLOOKUP(L127,TeamList[מס"ד],TeamList[מס'' הקבוצה])&amp;" "&amp;_xlfn.XLOOKUP(L127,TeamList[מס"ד],TeamList[שם הקבוצה])&amp;" "&amp;_xlfn.XLOOKUP(L127,TeamList[מס"ד],TeamList[ישוב])</f>
        <v>1616 אילן רמון כפר סבא</v>
      </c>
      <c r="M133" s="276"/>
      <c r="N133" s="277"/>
      <c r="O133" s="64"/>
      <c r="P133"/>
      <c r="Q133"/>
      <c r="R133"/>
      <c r="S133"/>
      <c r="T133"/>
    </row>
    <row r="134" spans="1:31" ht="19.95" customHeight="1" thickBot="1" x14ac:dyDescent="0.8">
      <c r="A134" s="66"/>
      <c r="B134" s="63" t="s">
        <v>35</v>
      </c>
      <c r="C134" s="206" t="s">
        <v>184</v>
      </c>
      <c r="D134" s="28" t="s">
        <v>185</v>
      </c>
      <c r="E134" s="64"/>
      <c r="F134" s="66"/>
      <c r="G134" s="63" t="s">
        <v>35</v>
      </c>
      <c r="H134" s="206" t="s">
        <v>184</v>
      </c>
      <c r="I134" s="28" t="s">
        <v>185</v>
      </c>
      <c r="J134" s="64"/>
      <c r="K134" s="66"/>
      <c r="L134" s="63" t="s">
        <v>35</v>
      </c>
      <c r="M134" s="206" t="s">
        <v>184</v>
      </c>
      <c r="N134" s="28" t="s">
        <v>185</v>
      </c>
      <c r="O134" s="64"/>
      <c r="P134"/>
      <c r="Q134"/>
      <c r="R134"/>
      <c r="S134"/>
      <c r="T134"/>
    </row>
    <row r="135" spans="1:31" ht="19.95" customHeight="1" x14ac:dyDescent="0.65">
      <c r="A135" s="66"/>
      <c r="B135" s="207" t="s">
        <v>113</v>
      </c>
      <c r="C135" s="205">
        <f>Opening</f>
        <v>0.41666666666666669</v>
      </c>
      <c r="D135" s="29">
        <f>C135+TIME(0,25,0)</f>
        <v>0.43402777777777779</v>
      </c>
      <c r="E135" s="74"/>
      <c r="F135" s="66"/>
      <c r="G135" s="207" t="s">
        <v>113</v>
      </c>
      <c r="H135" s="205">
        <f>Opening</f>
        <v>0.41666666666666669</v>
      </c>
      <c r="I135" s="29">
        <f>H135+TIME(0,25,0)</f>
        <v>0.43402777777777779</v>
      </c>
      <c r="J135" s="74"/>
      <c r="K135" s="66"/>
      <c r="L135" s="207" t="s">
        <v>113</v>
      </c>
      <c r="M135" s="205">
        <f>Opening</f>
        <v>0.41666666666666669</v>
      </c>
      <c r="N135" s="29">
        <f>M135+TIME(0,25,0)</f>
        <v>0.43402777777777779</v>
      </c>
      <c r="O135" s="74"/>
      <c r="P135"/>
      <c r="Q135"/>
      <c r="R135"/>
      <c r="S135"/>
      <c r="T135"/>
    </row>
    <row r="136" spans="1:31" ht="19.95" customHeight="1" x14ac:dyDescent="0.65">
      <c r="A136" s="66"/>
      <c r="B136" s="30" t="str">
        <f>CONCATENATE(" חדר שיפוט ",_xlfn.XLOOKUP(B127,TeamList[מס"ד],TeamList[חדר שיפוט]))</f>
        <v xml:space="preserve"> חדר שיפוט 7 אדום</v>
      </c>
      <c r="C136" s="204">
        <f>_xlfn.XLOOKUP(B127,TimeTable[מס"ד],TimeTable[שעת שיפוט])</f>
        <v>0.36458333333333331</v>
      </c>
      <c r="D136" s="31">
        <f>C136+JS</f>
        <v>0.3833333333333333</v>
      </c>
      <c r="E136" s="75"/>
      <c r="F136" s="66"/>
      <c r="G136" s="30" t="str">
        <f>CONCATENATE(" חדר שיפוט ",_xlfn.XLOOKUP(G127,TeamList[מס"ד],TeamList[חדר שיפוט]))</f>
        <v xml:space="preserve"> חדר שיפוט 7 אדום</v>
      </c>
      <c r="H136" s="204">
        <f>_xlfn.XLOOKUP(G127,TimeTable[מס"ד],TimeTable[שעת שיפוט])</f>
        <v>0.4375</v>
      </c>
      <c r="I136" s="31">
        <f>H136+JS</f>
        <v>0.45624999999999999</v>
      </c>
      <c r="J136" s="75"/>
      <c r="K136" s="66"/>
      <c r="L136" s="30" t="str">
        <f>CONCATENATE(" חדר שיפוט ",_xlfn.XLOOKUP(L127,TeamList[מס"ד],TeamList[חדר שיפוט]))</f>
        <v xml:space="preserve"> חדר שיפוט 7 אדום</v>
      </c>
      <c r="M136" s="204">
        <f>_xlfn.XLOOKUP(L127,TimeTable[מס"ד],TimeTable[שעת שיפוט])</f>
        <v>0.5</v>
      </c>
      <c r="N136" s="31">
        <f>M136+JS</f>
        <v>0.51875000000000004</v>
      </c>
      <c r="O136" s="75"/>
      <c r="P136"/>
      <c r="Q136"/>
      <c r="R136"/>
      <c r="S136"/>
      <c r="T136"/>
    </row>
    <row r="137" spans="1:31" ht="19.95" customHeight="1" x14ac:dyDescent="0.65">
      <c r="A137" s="77" t="str">
        <f>_xlfn.XLOOKUP(B127,TimeTable[מס"ד],TimeTable[שולחן הרצת אימון])</f>
        <v>2 אדום</v>
      </c>
      <c r="B137" s="30" t="str">
        <f>" מקצה אימונים - שולחן "&amp;A137&amp;" כניסה "&amp;IF(COUNTIF('תכנית לפי קבוצות'!$AA$3:$AA$6,A137)&gt;0,"א'","ב'")</f>
        <v xml:space="preserve"> מקצה אימונים - שולחן 2 אדום כניסה א'</v>
      </c>
      <c r="C137" s="204">
        <f>_xlfn.XLOOKUP(B127,TimeTable[מס"ד],TimeTable[שעת הרצת אימון])</f>
        <v>0.40624999999999994</v>
      </c>
      <c r="D137" s="31">
        <f>C137+TIME(0,3,0)</f>
        <v>0.40833333333333327</v>
      </c>
      <c r="E137" s="76"/>
      <c r="F137" s="77" t="str">
        <f>_xlfn.XLOOKUP(G127,TimeTable[מס"ד],TimeTable[שולחן הרצת אימון])</f>
        <v>4 אדום</v>
      </c>
      <c r="G137" s="30" t="str">
        <f>" מקצה אימונים - שולחן "&amp;F137&amp;" כניסה "&amp;IF(COUNTIF('תכנית לפי קבוצות'!$AA$3:$AA$6,F137)&gt;0,"א'","ב'")</f>
        <v xml:space="preserve"> מקצה אימונים - שולחן 4 אדום כניסה א'</v>
      </c>
      <c r="H137" s="204">
        <f>_xlfn.XLOOKUP(G127,TimeTable[מס"ד],TimeTable[שעת הרצת אימון])</f>
        <v>0.36458333333333331</v>
      </c>
      <c r="I137" s="31">
        <f>H137+TIME(0,3,0)</f>
        <v>0.36666666666666664</v>
      </c>
      <c r="J137" s="76"/>
      <c r="K137" s="77" t="str">
        <f>_xlfn.XLOOKUP(L127,TimeTable[מס"ד],TimeTable[שולחן הרצת אימון])</f>
        <v>3 אדום</v>
      </c>
      <c r="L137" s="30" t="str">
        <f>" מקצה אימונים - שולחן "&amp;K137&amp;" כניסה "&amp;IF(COUNTIF('תכנית לפי קבוצות'!$AA$3:$AA$6,K137)&gt;0,"א'","ב'")</f>
        <v xml:space="preserve"> מקצה אימונים - שולחן 3 אדום כניסה א'</v>
      </c>
      <c r="M137" s="204">
        <f>_xlfn.XLOOKUP(L127,TimeTable[מס"ד],TimeTable[שעת הרצת אימון])</f>
        <v>0.38958333333333328</v>
      </c>
      <c r="N137" s="31">
        <f>M137+TIME(0,3,0)</f>
        <v>0.39166666666666661</v>
      </c>
      <c r="O137" s="76"/>
      <c r="P137"/>
      <c r="Q137"/>
      <c r="R137"/>
      <c r="S137"/>
      <c r="T137"/>
    </row>
    <row r="138" spans="1:31" ht="19.95" customHeight="1" x14ac:dyDescent="0.65">
      <c r="A138" s="66" t="str">
        <f>_xlfn.XLOOKUP(B127,TimeTable[מס"ד],TimeTable[שולחן הרצה 1])</f>
        <v>7 אדום</v>
      </c>
      <c r="B138" s="30" t="str">
        <f>" מקצה 1 - שולחן "&amp;A138&amp;" כניסה "&amp;IF(COUNTIF('תכנית לפי קבוצות'!$AA$3:$AA$6,A138)&gt;0,"א'","ב'")</f>
        <v xml:space="preserve"> מקצה 1 - שולחן 7 אדום כניסה ב'</v>
      </c>
      <c r="C138" s="204">
        <f>_xlfn.XLOOKUP(B127,TimeTable[מס"ד],TimeTable[שעת הרצה 1])</f>
        <v>0.45833333333333298</v>
      </c>
      <c r="D138" s="31">
        <f t="shared" ref="D138:D140" si="48">C138+TIME(0,3,0)</f>
        <v>0.46041666666666631</v>
      </c>
      <c r="E138" s="76"/>
      <c r="F138" s="66" t="str">
        <f>_xlfn.XLOOKUP(G127,TimeTable[מס"ד],TimeTable[שולחן הרצה 1])</f>
        <v>6 אדום</v>
      </c>
      <c r="G138" s="30" t="str">
        <f>" מקצה 1 - שולחן "&amp;F138&amp;" כניסה "&amp;IF(COUNTIF('תכנית לפי קבוצות'!$AA$3:$AA$6,F138)&gt;0,"א'","ב'")</f>
        <v xml:space="preserve"> מקצה 1 - שולחן 6 אדום כניסה ב'</v>
      </c>
      <c r="H138" s="204">
        <f>_xlfn.XLOOKUP(G127,TimeTable[מס"ד],TimeTable[שעת הרצה 1])</f>
        <v>0.47916666666666624</v>
      </c>
      <c r="I138" s="31">
        <f t="shared" ref="I138:I140" si="49">H138+TIME(0,3,0)</f>
        <v>0.48124999999999957</v>
      </c>
      <c r="J138" s="76"/>
      <c r="K138" s="66" t="str">
        <f>_xlfn.XLOOKUP(L127,TimeTable[מס"ד],TimeTable[שולחן הרצה 1])</f>
        <v>4 אדום</v>
      </c>
      <c r="L138" s="30" t="str">
        <f>" מקצה 1 - שולחן "&amp;K138&amp;" כניסה "&amp;IF(COUNTIF('תכנית לפי קבוצות'!$AA$3:$AA$6,K138)&gt;0,"א'","ב'")</f>
        <v xml:space="preserve"> מקצה 1 - שולחן 4 אדום כניסה א'</v>
      </c>
      <c r="M138" s="204">
        <f>_xlfn.XLOOKUP(L127,TimeTable[מס"ד],TimeTable[שעת הרצה 1])</f>
        <v>0.46180555555555519</v>
      </c>
      <c r="N138" s="31">
        <f t="shared" ref="N138:N140" si="50">M138+TIME(0,3,0)</f>
        <v>0.46388888888888852</v>
      </c>
      <c r="O138" s="76"/>
      <c r="P138"/>
      <c r="Q138"/>
      <c r="R138"/>
      <c r="S138"/>
      <c r="T138"/>
    </row>
    <row r="139" spans="1:31" ht="19.95" customHeight="1" x14ac:dyDescent="0.65">
      <c r="A139" s="66" t="str">
        <f>_xlfn.XLOOKUP(B127,TimeTable[מס"ד],TimeTable[שולחן הרצה 2])</f>
        <v>2 אדום</v>
      </c>
      <c r="B139" s="30" t="str">
        <f>" מקצה 2 - שולחן "&amp;A139&amp;" כניסה "&amp;IF(COUNTIF('תכנית לפי קבוצות'!$AA$3:$AA$6,A139)&gt;0,"א'","ב'")</f>
        <v xml:space="preserve"> מקצה 2 - שולחן 2 אדום כניסה א'</v>
      </c>
      <c r="C139" s="204">
        <f>_xlfn.XLOOKUP(B127,TimeTable[מס"ד],TimeTable[שעת הרצה 2])</f>
        <v>0.5138888888888884</v>
      </c>
      <c r="D139" s="31">
        <f t="shared" si="48"/>
        <v>0.51597222222222172</v>
      </c>
      <c r="E139" s="76"/>
      <c r="F139" s="66" t="str">
        <f>_xlfn.XLOOKUP(G127,TimeTable[מס"ד],TimeTable[שולחן הרצה 2])</f>
        <v>6 אדום</v>
      </c>
      <c r="G139" s="30" t="str">
        <f>" מקצה 2 - שולחן "&amp;F139&amp;" כניסה "&amp;IF(COUNTIF('תכנית לפי קבוצות'!$AA$3:$AA$6,F139)&gt;0,"א'","ב'")</f>
        <v xml:space="preserve"> מקצה 2 - שולחן 6 אדום כניסה ב'</v>
      </c>
      <c r="H139" s="204">
        <f>_xlfn.XLOOKUP(G127,TimeTable[מס"ד],TimeTable[שעת הרצה 2])</f>
        <v>0.53124999999999944</v>
      </c>
      <c r="I139" s="31">
        <f t="shared" si="49"/>
        <v>0.53333333333333277</v>
      </c>
      <c r="J139" s="76"/>
      <c r="K139" s="66" t="str">
        <f>_xlfn.XLOOKUP(L127,TimeTable[מס"ד],TimeTable[שולחן הרצה 2])</f>
        <v>1 אדום</v>
      </c>
      <c r="L139" s="30" t="str">
        <f>" מקצה 2 - שולחן "&amp;K139&amp;" כניסה "&amp;IF(COUNTIF('תכנית לפי קבוצות'!$AA$3:$AA$6,K139)&gt;0,"א'","ב'")</f>
        <v xml:space="preserve"> מקצה 2 - שולחן 1 אדום כניסה א'</v>
      </c>
      <c r="M139" s="204">
        <f>_xlfn.XLOOKUP(L127,TimeTable[מס"ד],TimeTable[שעת הרצה 2])</f>
        <v>0.54861111111111049</v>
      </c>
      <c r="N139" s="31">
        <f t="shared" si="50"/>
        <v>0.55069444444444382</v>
      </c>
      <c r="O139" s="76"/>
      <c r="P139"/>
      <c r="Q139"/>
      <c r="R139"/>
      <c r="S139"/>
      <c r="T139"/>
    </row>
    <row r="140" spans="1:31" ht="19.95" customHeight="1" x14ac:dyDescent="0.65">
      <c r="A140" s="66" t="str">
        <f>_xlfn.XLOOKUP(B127,TimeTable[מס"ד],TimeTable[שולחן הרצה 3])</f>
        <v>8 אדום</v>
      </c>
      <c r="B140" s="30" t="str">
        <f>" מקצה 3 - שולחן "&amp;A140&amp;" כניסה "&amp;IF(COUNTIF('תכנית לפי קבוצות'!$AA$3:$AA$6,A140)&gt;0,"א'","ב'")</f>
        <v xml:space="preserve"> מקצה 3 - שולחן 8 אדום כניסה ב'</v>
      </c>
      <c r="C140" s="204">
        <f>_xlfn.XLOOKUP(B127,TimeTable[מס"ד],TimeTable[שעת הרצה 3])</f>
        <v>0.59374999999999922</v>
      </c>
      <c r="D140" s="31">
        <f t="shared" si="48"/>
        <v>0.59583333333333255</v>
      </c>
      <c r="E140" s="76"/>
      <c r="F140" s="66" t="str">
        <f>_xlfn.XLOOKUP(G127,TimeTable[מס"ד],TimeTable[שולחן הרצה 3])</f>
        <v>6 אדום</v>
      </c>
      <c r="G140" s="30" t="str">
        <f>" מקצה 3 - שולחן "&amp;F140&amp;" כניסה "&amp;IF(COUNTIF('תכנית לפי קבוצות'!$AA$3:$AA$6,F140)&gt;0,"א'","ב'")</f>
        <v xml:space="preserve"> מקצה 3 - שולחן 6 אדום כניסה ב'</v>
      </c>
      <c r="H140" s="204">
        <f>_xlfn.XLOOKUP(G127,TimeTable[מס"ד],TimeTable[שעת הרצה 3])</f>
        <v>0.60763888888888806</v>
      </c>
      <c r="I140" s="31">
        <f t="shared" si="49"/>
        <v>0.60972222222222139</v>
      </c>
      <c r="J140" s="76"/>
      <c r="K140" s="66" t="str">
        <f>_xlfn.XLOOKUP(L127,TimeTable[מס"ד],TimeTable[שולחן הרצה 3])</f>
        <v>4 אדום</v>
      </c>
      <c r="L140" s="30" t="str">
        <f>" מקצה 3 - שולחן "&amp;K140&amp;" כניסה "&amp;IF(COUNTIF('תכנית לפי קבוצות'!$AA$3:$AA$6,K140)&gt;0,"א'","ב'")</f>
        <v xml:space="preserve"> מקצה 3 - שולחן 4 אדום כניסה א'</v>
      </c>
      <c r="M140" s="204">
        <f>_xlfn.XLOOKUP(L127,TimeTable[מס"ד],TimeTable[שעת הרצה 3])</f>
        <v>0.61805555555555469</v>
      </c>
      <c r="N140" s="31">
        <f t="shared" si="50"/>
        <v>0.62013888888888802</v>
      </c>
      <c r="O140" s="76"/>
      <c r="P140"/>
      <c r="Q140"/>
      <c r="R140"/>
      <c r="S140"/>
      <c r="T140"/>
    </row>
    <row r="141" spans="1:31" s="69" customFormat="1" ht="19.95" customHeight="1" x14ac:dyDescent="0.65">
      <c r="A141" s="203">
        <f>pits+TIME(2,0,0)</f>
        <v>8.3333333333333329E-2</v>
      </c>
      <c r="B141" s="30" t="s">
        <v>192</v>
      </c>
      <c r="C141" s="204"/>
      <c r="D141" s="31"/>
      <c r="E141" s="75"/>
      <c r="F141" s="203">
        <f>pits+TIME(2,0,0)</f>
        <v>8.3333333333333329E-2</v>
      </c>
      <c r="G141" s="30" t="s">
        <v>192</v>
      </c>
      <c r="H141" s="204"/>
      <c r="I141" s="31"/>
      <c r="J141" s="75"/>
      <c r="K141" s="203">
        <f>pits+TIME(2,0,0)</f>
        <v>8.3333333333333329E-2</v>
      </c>
      <c r="L141" s="30" t="s">
        <v>192</v>
      </c>
      <c r="M141" s="204"/>
      <c r="N141" s="31"/>
      <c r="O141" s="75"/>
      <c r="P141"/>
      <c r="Q141"/>
      <c r="R141"/>
      <c r="S141"/>
      <c r="T141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</row>
    <row r="142" spans="1:31" s="69" customFormat="1" ht="19.95" customHeight="1" x14ac:dyDescent="0.65">
      <c r="A142" s="77" t="str">
        <f>_xlfn.XLOOKUP(B127,TimeTable[מס"ד],TimeTable[שולחן הרצת טורניר])</f>
        <v>1 כחול</v>
      </c>
      <c r="B142" s="30" t="str">
        <f>" טורניר ידידות - שולחן "&amp;A142&amp;" כניסה "&amp;IF(COUNTIF('תכנית לפי קבוצות'!$AA$3:$AA$6,A142)&gt;0,"א'","ב'")&amp;", עם קבוצה "&amp;_xlfn.XLOOKUP(B127,TeamList2[מס"ד],TeamList2[מס'' הקבוצה])</f>
        <v xml:space="preserve"> טורניר ידידות - שולחן 1 כחול כניסה ב', עם קבוצה 3022</v>
      </c>
      <c r="C142" s="204">
        <f>_xlfn.XLOOKUP(_xlfn.XLOOKUP(B127,TeamList[מס"ד],TeamList[מס'' הקבוצה]),Table135[קבוצה],Table135[שעה])</f>
        <v>0.66666666666666663</v>
      </c>
      <c r="D142" s="31">
        <f t="shared" ref="D142" si="51">C142+TIME(0,3,0)</f>
        <v>0.66874999999999996</v>
      </c>
      <c r="E142" s="75"/>
      <c r="F142" s="77" t="str">
        <f>_xlfn.XLOOKUP(G127,TimeTable[מס"ד],TimeTable[שולחן הרצת טורניר])</f>
        <v>2 כחול</v>
      </c>
      <c r="G142" s="30" t="str">
        <f>" טורניר ידידות - שולחן "&amp;F142&amp;" כניסה "&amp;IF(COUNTIF('תכנית לפי קבוצות'!$AA$3:$AA$6,F142)&gt;0,"א'","ב'")&amp;", עם קבוצה "&amp;_xlfn.XLOOKUP(G127,TeamList2[מס"ד],TeamList2[מס'' הקבוצה])</f>
        <v xml:space="preserve"> טורניר ידידות - שולחן 2 כחול כניסה ב', עם קבוצה 3191</v>
      </c>
      <c r="H142" s="204">
        <f>_xlfn.XLOOKUP(_xlfn.XLOOKUP(G127,TeamList[מס"ד],TeamList[מס'' הקבוצה]),Table135[קבוצה],Table135[שעה])</f>
        <v>0.67361111111111105</v>
      </c>
      <c r="I142" s="31">
        <f t="shared" ref="I142" si="52">H142+TIME(0,3,0)</f>
        <v>0.67569444444444438</v>
      </c>
      <c r="J142" s="75"/>
      <c r="K142" s="77" t="str">
        <f>_xlfn.XLOOKUP(L127,TimeTable[מס"ד],TimeTable[שולחן הרצת טורניר])</f>
        <v>3 כחול</v>
      </c>
      <c r="L142" s="30" t="str">
        <f>" טורניר ידידות - שולחן "&amp;K142&amp;" כניסה "&amp;IF(COUNTIF('תכנית לפי קבוצות'!$AA$3:$AA$6,K142)&gt;0,"א'","ב'")&amp;", עם קבוצה "&amp;_xlfn.XLOOKUP(L127,TeamList2[מס"ד],TeamList2[מס'' הקבוצה])</f>
        <v xml:space="preserve"> טורניר ידידות - שולחן 3 כחול כניסה ב', עם קבוצה 910</v>
      </c>
      <c r="M142" s="204">
        <f>_xlfn.XLOOKUP(_xlfn.XLOOKUP(L127,TeamList[מס"ד],TeamList[מס'' הקבוצה]),Table135[קבוצה],Table135[שעה])</f>
        <v>0.68055555555555547</v>
      </c>
      <c r="N142" s="31">
        <f t="shared" ref="N142" si="53">M142+TIME(0,3,0)</f>
        <v>0.6826388888888888</v>
      </c>
      <c r="O142" s="75"/>
      <c r="P142"/>
      <c r="Q142"/>
      <c r="R142"/>
      <c r="S142"/>
      <c r="T142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</row>
    <row r="143" spans="1:31" s="69" customFormat="1" ht="19.95" customHeight="1" x14ac:dyDescent="0.65">
      <c r="A143" s="66"/>
      <c r="B143" s="139" t="str">
        <f>" "&amp;'תכנית לפי קבוצות'!$I$91</f>
        <v xml:space="preserve"> מסיבוטיקה</v>
      </c>
      <c r="C143" s="204">
        <f>מסיבוטיקה</f>
        <v>0.69444444444444453</v>
      </c>
      <c r="D143" s="31">
        <f>C144-TIME(0,5,0)</f>
        <v>0.70486111111111094</v>
      </c>
      <c r="E143" s="65"/>
      <c r="F143" s="66"/>
      <c r="G143" s="139" t="str">
        <f>" "&amp;'תכנית לפי קבוצות'!$I$91</f>
        <v xml:space="preserve"> מסיבוטיקה</v>
      </c>
      <c r="H143" s="204">
        <f>מסיבוטיקה</f>
        <v>0.69444444444444453</v>
      </c>
      <c r="I143" s="31">
        <f>H144-TIME(0,5,0)</f>
        <v>0.70486111111111094</v>
      </c>
      <c r="J143" s="65"/>
      <c r="K143" s="66"/>
      <c r="L143" s="139" t="str">
        <f>" "&amp;'תכנית לפי קבוצות'!$I$91</f>
        <v xml:space="preserve"> מסיבוטיקה</v>
      </c>
      <c r="M143" s="204">
        <f>מסיבוטיקה</f>
        <v>0.69444444444444453</v>
      </c>
      <c r="N143" s="31">
        <f>M144-TIME(0,5,0)</f>
        <v>0.70486111111111094</v>
      </c>
      <c r="O143" s="65"/>
      <c r="P143"/>
      <c r="Q143"/>
      <c r="R143"/>
      <c r="S143"/>
      <c r="T143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</row>
    <row r="144" spans="1:31" s="69" customFormat="1" ht="19.95" customHeight="1" thickBot="1" x14ac:dyDescent="0.8">
      <c r="A144" s="66"/>
      <c r="B144" s="70" t="s">
        <v>114</v>
      </c>
      <c r="C144" s="208">
        <f>סיום</f>
        <v>0.70833333333333315</v>
      </c>
      <c r="D144" s="209">
        <f>_xlfn.XLOOKUP(N,break_scheduler['# of teams],break_scheduler[END])</f>
        <v>0.73958333333333315</v>
      </c>
      <c r="E144" s="65"/>
      <c r="F144" s="66"/>
      <c r="G144" s="70" t="s">
        <v>114</v>
      </c>
      <c r="H144" s="208">
        <f>סיום</f>
        <v>0.70833333333333315</v>
      </c>
      <c r="I144" s="209">
        <f>_xlfn.XLOOKUP(N,break_scheduler['# of teams],break_scheduler[END])</f>
        <v>0.73958333333333315</v>
      </c>
      <c r="J144" s="65"/>
      <c r="K144" s="66"/>
      <c r="L144" s="70" t="s">
        <v>114</v>
      </c>
      <c r="M144" s="208">
        <f>סיום</f>
        <v>0.70833333333333315</v>
      </c>
      <c r="N144" s="209">
        <f>_xlfn.XLOOKUP(N,break_scheduler['# of teams],break_scheduler[END])</f>
        <v>0.73958333333333315</v>
      </c>
      <c r="O144" s="65"/>
      <c r="P144"/>
      <c r="Q144"/>
      <c r="R144"/>
      <c r="S144"/>
      <c r="T144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</row>
    <row r="145" spans="1:31" s="69" customFormat="1" ht="43.9" customHeight="1" x14ac:dyDescent="0.65">
      <c r="A145" s="210" t="s">
        <v>186</v>
      </c>
      <c r="B145" s="62"/>
      <c r="C145" s="62"/>
      <c r="D145" s="62"/>
      <c r="E145" s="62"/>
      <c r="F145" s="210" t="s">
        <v>186</v>
      </c>
      <c r="G145" s="62"/>
      <c r="H145" s="62"/>
      <c r="I145" s="62"/>
      <c r="J145" s="62"/>
      <c r="K145" s="210" t="s">
        <v>186</v>
      </c>
      <c r="L145" s="62"/>
      <c r="M145" s="62"/>
      <c r="N145" s="62"/>
      <c r="O145" s="62"/>
      <c r="P145"/>
      <c r="Q145"/>
      <c r="R145"/>
      <c r="S145"/>
      <c r="T145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</row>
    <row r="146" spans="1:31" s="69" customFormat="1" ht="19.95" customHeight="1" x14ac:dyDescent="0.65">
      <c r="A146" s="278" t="s">
        <v>187</v>
      </c>
      <c r="B146" s="278"/>
      <c r="C146" s="278"/>
      <c r="D146" s="278"/>
      <c r="E146" s="278"/>
      <c r="F146" s="278" t="s">
        <v>187</v>
      </c>
      <c r="G146" s="278"/>
      <c r="H146" s="278"/>
      <c r="I146" s="278"/>
      <c r="J146" s="278"/>
      <c r="K146" s="278" t="s">
        <v>187</v>
      </c>
      <c r="L146" s="278"/>
      <c r="M146" s="278"/>
      <c r="N146" s="278"/>
      <c r="O146" s="278"/>
      <c r="P146"/>
      <c r="Q146"/>
      <c r="R146"/>
      <c r="S146"/>
      <c r="T14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</row>
    <row r="147" spans="1:31" s="69" customFormat="1" ht="19.95" customHeight="1" x14ac:dyDescent="0.65">
      <c r="A147" s="279" t="s">
        <v>37</v>
      </c>
      <c r="B147" s="279"/>
      <c r="C147" s="279"/>
      <c r="D147" s="279"/>
      <c r="E147" s="279"/>
      <c r="F147" s="279" t="s">
        <v>37</v>
      </c>
      <c r="G147" s="279"/>
      <c r="H147" s="279"/>
      <c r="I147" s="279"/>
      <c r="J147" s="279"/>
      <c r="K147" s="279" t="s">
        <v>37</v>
      </c>
      <c r="L147" s="279"/>
      <c r="M147" s="279"/>
      <c r="N147" s="279"/>
      <c r="O147" s="279"/>
      <c r="P147"/>
      <c r="Q147"/>
      <c r="R147"/>
      <c r="S147"/>
      <c r="T147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</row>
    <row r="148" spans="1:31" ht="19.95" customHeight="1" x14ac:dyDescent="0.65">
      <c r="B148" s="67">
        <f>B127+1</f>
        <v>8</v>
      </c>
      <c r="G148" s="67">
        <f>G127+1</f>
        <v>22</v>
      </c>
      <c r="L148" s="67">
        <f>L127+1</f>
        <v>36</v>
      </c>
      <c r="P148"/>
      <c r="Q148"/>
      <c r="R148"/>
      <c r="S148"/>
      <c r="T148"/>
    </row>
    <row r="149" spans="1:31" ht="19.95" customHeight="1" x14ac:dyDescent="0.65">
      <c r="P149"/>
      <c r="Q149"/>
      <c r="R149"/>
      <c r="S149"/>
      <c r="T149"/>
    </row>
    <row r="150" spans="1:31" ht="19.95" customHeight="1" x14ac:dyDescent="0.65">
      <c r="P150"/>
      <c r="Q150"/>
      <c r="R150"/>
      <c r="S150"/>
      <c r="T150"/>
    </row>
    <row r="151" spans="1:31" ht="19.95" customHeight="1" x14ac:dyDescent="0.65">
      <c r="P151"/>
      <c r="Q151"/>
      <c r="R151"/>
      <c r="S151"/>
      <c r="T151"/>
    </row>
    <row r="152" spans="1:31" ht="19.95" customHeight="1" x14ac:dyDescent="0.65">
      <c r="P152"/>
      <c r="Q152"/>
      <c r="R152"/>
      <c r="S152"/>
      <c r="T152"/>
    </row>
    <row r="153" spans="1:31" ht="19.95" customHeight="1" thickBot="1" x14ac:dyDescent="0.8">
      <c r="P153"/>
      <c r="Q153"/>
      <c r="R153"/>
      <c r="S153"/>
      <c r="T153"/>
    </row>
    <row r="154" spans="1:31" ht="19.95" customHeight="1" thickBot="1" x14ac:dyDescent="0.8">
      <c r="A154" s="66"/>
      <c r="B154" s="275" t="str">
        <f>_xlfn.XLOOKUP(B148,TeamList[מס"ד],TeamList[מס'' הקבוצה])&amp;" "&amp;_xlfn.XLOOKUP(B148,TeamList[מס"ד],TeamList[שם הקבוצה])&amp;" "&amp;_xlfn.XLOOKUP(B148,TeamList[מס"ד],TeamList[ישוב])</f>
        <v>2978 אל-קסטל  נצרת</v>
      </c>
      <c r="C154" s="276"/>
      <c r="D154" s="277"/>
      <c r="E154" s="64"/>
      <c r="F154" s="66"/>
      <c r="G154" s="275" t="str">
        <f>_xlfn.XLOOKUP(G148,TeamList[מס"ד],TeamList[מס'' הקבוצה])&amp;" "&amp;_xlfn.XLOOKUP(G148,TeamList[מס"ד],TeamList[שם הקבוצה])&amp;" "&amp;_xlfn.XLOOKUP(G148,TeamList[מס"ד],TeamList[ישוב])</f>
        <v>3022 אברט  חצור הגלילית</v>
      </c>
      <c r="H154" s="276"/>
      <c r="I154" s="277"/>
      <c r="J154" s="64"/>
      <c r="K154" s="66"/>
      <c r="L154" s="275" t="str">
        <f>_xlfn.XLOOKUP(L148,TeamList[מס"ד],TeamList[מס'' הקבוצה])&amp;" "&amp;_xlfn.XLOOKUP(L148,TeamList[מס"ד],TeamList[שם הקבוצה])&amp;" "&amp;_xlfn.XLOOKUP(L148,TeamList[מס"ד],TeamList[ישוב])</f>
        <v>1214 אל זהראא ב נצרת</v>
      </c>
      <c r="M154" s="276"/>
      <c r="N154" s="277"/>
      <c r="O154" s="64"/>
      <c r="P154"/>
      <c r="Q154"/>
      <c r="R154"/>
      <c r="S154"/>
      <c r="T154"/>
    </row>
    <row r="155" spans="1:31" ht="19.95" customHeight="1" thickBot="1" x14ac:dyDescent="0.8">
      <c r="A155" s="66"/>
      <c r="B155" s="63" t="s">
        <v>35</v>
      </c>
      <c r="C155" s="206" t="s">
        <v>184</v>
      </c>
      <c r="D155" s="28" t="s">
        <v>185</v>
      </c>
      <c r="E155" s="64"/>
      <c r="F155" s="66"/>
      <c r="G155" s="63" t="s">
        <v>35</v>
      </c>
      <c r="H155" s="206" t="s">
        <v>184</v>
      </c>
      <c r="I155" s="28" t="s">
        <v>185</v>
      </c>
      <c r="J155" s="64"/>
      <c r="K155" s="66"/>
      <c r="L155" s="63" t="s">
        <v>35</v>
      </c>
      <c r="M155" s="206" t="s">
        <v>184</v>
      </c>
      <c r="N155" s="28" t="s">
        <v>185</v>
      </c>
      <c r="O155" s="64"/>
      <c r="P155"/>
      <c r="Q155"/>
      <c r="R155"/>
      <c r="S155"/>
      <c r="T155"/>
    </row>
    <row r="156" spans="1:31" ht="19.95" customHeight="1" x14ac:dyDescent="0.65">
      <c r="A156" s="66"/>
      <c r="B156" s="207" t="s">
        <v>113</v>
      </c>
      <c r="C156" s="205">
        <f>Opening</f>
        <v>0.41666666666666669</v>
      </c>
      <c r="D156" s="29">
        <f>C156+TIME(0,25,0)</f>
        <v>0.43402777777777779</v>
      </c>
      <c r="E156" s="74"/>
      <c r="F156" s="66"/>
      <c r="G156" s="207" t="s">
        <v>113</v>
      </c>
      <c r="H156" s="205">
        <f>Opening</f>
        <v>0.41666666666666669</v>
      </c>
      <c r="I156" s="29">
        <f>H156+TIME(0,25,0)</f>
        <v>0.43402777777777779</v>
      </c>
      <c r="J156" s="74"/>
      <c r="K156" s="66"/>
      <c r="L156" s="207" t="s">
        <v>113</v>
      </c>
      <c r="M156" s="205">
        <f>Opening</f>
        <v>0.41666666666666669</v>
      </c>
      <c r="N156" s="29">
        <f>M156+TIME(0,25,0)</f>
        <v>0.43402777777777779</v>
      </c>
      <c r="O156" s="74"/>
      <c r="P156"/>
      <c r="Q156"/>
      <c r="R156"/>
      <c r="S156"/>
      <c r="T156"/>
    </row>
    <row r="157" spans="1:31" ht="19.95" customHeight="1" x14ac:dyDescent="0.65">
      <c r="A157" s="66"/>
      <c r="B157" s="30" t="str">
        <f>CONCATENATE(" חדר שיפוט ",_xlfn.XLOOKUP(B148,TeamList[מס"ד],TeamList[חדר שיפוט]))</f>
        <v xml:space="preserve"> חדר שיפוט 1 אדום</v>
      </c>
      <c r="C157" s="204">
        <f>_xlfn.XLOOKUP(B148,TimeTable[מס"ד],TimeTable[שעת שיפוט])</f>
        <v>0.39583333333333331</v>
      </c>
      <c r="D157" s="31">
        <f>C157+JS</f>
        <v>0.4145833333333333</v>
      </c>
      <c r="E157" s="75"/>
      <c r="F157" s="66"/>
      <c r="G157" s="30" t="str">
        <f>CONCATENATE(" חדר שיפוט ",_xlfn.XLOOKUP(G148,TeamList[מס"ד],TeamList[חדר שיפוט]))</f>
        <v xml:space="preserve"> חדר שיפוט 1 אדום</v>
      </c>
      <c r="H157" s="204">
        <f>_xlfn.XLOOKUP(G148,TimeTable[מס"ד],TimeTable[שעת שיפוט])</f>
        <v>0.46875</v>
      </c>
      <c r="I157" s="31">
        <f>H157+JS</f>
        <v>0.48749999999999999</v>
      </c>
      <c r="J157" s="75"/>
      <c r="K157" s="66"/>
      <c r="L157" s="30" t="str">
        <f>CONCATENATE(" חדר שיפוט ",_xlfn.XLOOKUP(L148,TeamList[מס"ד],TeamList[חדר שיפוט]))</f>
        <v xml:space="preserve"> חדר שיפוט 1 אדום</v>
      </c>
      <c r="M157" s="204">
        <f>_xlfn.XLOOKUP(L148,TimeTable[מס"ד],TimeTable[שעת שיפוט])</f>
        <v>0.56249999999999989</v>
      </c>
      <c r="N157" s="31">
        <f>M157+JS</f>
        <v>0.58124999999999993</v>
      </c>
      <c r="O157" s="75"/>
      <c r="P157"/>
      <c r="Q157"/>
      <c r="R157"/>
      <c r="S157"/>
      <c r="T157"/>
    </row>
    <row r="158" spans="1:31" ht="19.95" customHeight="1" x14ac:dyDescent="0.65">
      <c r="A158" s="77" t="str">
        <f>_xlfn.XLOOKUP(B148,TimeTable[מס"ד],TimeTable[שולחן הרצת אימון])</f>
        <v>1 אדום</v>
      </c>
      <c r="B158" s="30" t="str">
        <f>" מקצה אימונים - שולחן "&amp;A158&amp;" כניסה "&amp;IF(COUNTIF('תכנית לפי קבוצות'!$AA$3:$AA$6,A158)&gt;0,"א'","ב'")</f>
        <v xml:space="preserve"> מקצה אימונים - שולחן 1 אדום כניסה א'</v>
      </c>
      <c r="C158" s="204">
        <f>_xlfn.XLOOKUP(B148,TimeTable[מס"ד],TimeTable[שעת הרצת אימון])</f>
        <v>0.36458333333333331</v>
      </c>
      <c r="D158" s="31">
        <f>C158+TIME(0,3,0)</f>
        <v>0.36666666666666664</v>
      </c>
      <c r="E158" s="76"/>
      <c r="F158" s="77" t="str">
        <f>_xlfn.XLOOKUP(G148,TimeTable[מס"ד],TimeTable[שולחן הרצת אימון])</f>
        <v>8 אדום</v>
      </c>
      <c r="G158" s="30" t="str">
        <f>" מקצה אימונים - שולחן "&amp;F158&amp;" כניסה "&amp;IF(COUNTIF('תכנית לפי קבוצות'!$AA$3:$AA$6,F158)&gt;0,"א'","ב'")</f>
        <v xml:space="preserve"> מקצה אימונים - שולחן 8 אדום כניסה ב'</v>
      </c>
      <c r="H158" s="204">
        <f>_xlfn.XLOOKUP(G148,TimeTable[מס"ד],TimeTable[שעת הרצת אימון])</f>
        <v>0.36874999999999997</v>
      </c>
      <c r="I158" s="31">
        <f>H158+TIME(0,3,0)</f>
        <v>0.37083333333333329</v>
      </c>
      <c r="J158" s="76"/>
      <c r="K158" s="77" t="str">
        <f>_xlfn.XLOOKUP(L148,TimeTable[מס"ד],TimeTable[שולחן הרצת אימון])</f>
        <v>7 אדום</v>
      </c>
      <c r="L158" s="30" t="str">
        <f>" מקצה אימונים - שולחן "&amp;K158&amp;" כניסה "&amp;IF(COUNTIF('תכנית לפי קבוצות'!$AA$3:$AA$6,K158)&gt;0,"א'","ב'")</f>
        <v xml:space="preserve"> מקצה אימונים - שולחן 7 אדום כניסה ב'</v>
      </c>
      <c r="M158" s="204">
        <f>_xlfn.XLOOKUP(L148,TimeTable[מס"ד],TimeTable[שעת הרצת אימון])</f>
        <v>0.39374999999999993</v>
      </c>
      <c r="N158" s="31">
        <f>M158+TIME(0,3,0)</f>
        <v>0.39583333333333326</v>
      </c>
      <c r="O158" s="76"/>
      <c r="P158"/>
      <c r="Q158"/>
      <c r="R158"/>
      <c r="S158"/>
      <c r="T158"/>
    </row>
    <row r="159" spans="1:31" ht="19.95" customHeight="1" x14ac:dyDescent="0.65">
      <c r="A159" s="66" t="str">
        <f>_xlfn.XLOOKUP(B148,TimeTable[מס"ד],TimeTable[שולחן הרצה 1])</f>
        <v>4 אדום</v>
      </c>
      <c r="B159" s="30" t="str">
        <f>" מקצה 1 - שולחן "&amp;A159&amp;" כניסה "&amp;IF(COUNTIF('תכנית לפי קבוצות'!$AA$3:$AA$6,A159)&gt;0,"א'","ב'")</f>
        <v xml:space="preserve"> מקצה 1 - שולחן 4 אדום כניסה א'</v>
      </c>
      <c r="C159" s="204">
        <f>_xlfn.XLOOKUP(B148,TimeTable[מס"ד],TimeTable[שעת הרצה 1])</f>
        <v>0.45486111111111077</v>
      </c>
      <c r="D159" s="31">
        <f t="shared" ref="D159:D161" si="54">C159+TIME(0,3,0)</f>
        <v>0.4569444444444441</v>
      </c>
      <c r="E159" s="76"/>
      <c r="F159" s="66" t="str">
        <f>_xlfn.XLOOKUP(G148,TimeTable[מס"ד],TimeTable[שולחן הרצה 1])</f>
        <v>5 אדום</v>
      </c>
      <c r="G159" s="30" t="str">
        <f>" מקצה 1 - שולחן "&amp;F159&amp;" כניסה "&amp;IF(COUNTIF('תכנית לפי קבוצות'!$AA$3:$AA$6,F159)&gt;0,"א'","ב'")</f>
        <v xml:space="preserve"> מקצה 1 - שולחן 5 אדום כניסה ב'</v>
      </c>
      <c r="H159" s="204">
        <f>_xlfn.XLOOKUP(G148,TimeTable[מס"ד],TimeTable[שעת הרצה 1])</f>
        <v>0.45138888888888856</v>
      </c>
      <c r="I159" s="31">
        <f t="shared" ref="I159:I161" si="55">H159+TIME(0,3,0)</f>
        <v>0.45347222222222189</v>
      </c>
      <c r="J159" s="76"/>
      <c r="K159" s="66" t="str">
        <f>_xlfn.XLOOKUP(L148,TimeTable[מס"ד],TimeTable[שולחן הרצה 1])</f>
        <v>8 אדום</v>
      </c>
      <c r="L159" s="30" t="str">
        <f>" מקצה 1 - שולחן "&amp;K159&amp;" כניסה "&amp;IF(COUNTIF('תכנית לפי קבוצות'!$AA$3:$AA$6,K159)&gt;0,"א'","ב'")</f>
        <v xml:space="preserve"> מקצה 1 - שולחן 8 אדום כניסה ב'</v>
      </c>
      <c r="M159" s="204">
        <f>_xlfn.XLOOKUP(L148,TimeTable[מס"ד],TimeTable[שעת הרצה 1])</f>
        <v>0.4652777777777774</v>
      </c>
      <c r="N159" s="31">
        <f t="shared" ref="N159:N161" si="56">M159+TIME(0,3,0)</f>
        <v>0.46736111111111073</v>
      </c>
      <c r="O159" s="76"/>
      <c r="P159"/>
      <c r="Q159"/>
      <c r="R159"/>
      <c r="S159"/>
      <c r="T159"/>
    </row>
    <row r="160" spans="1:31" ht="19.95" customHeight="1" x14ac:dyDescent="0.65">
      <c r="A160" s="66" t="str">
        <f>_xlfn.XLOOKUP(B148,TimeTable[מס"ד],TimeTable[שולחן הרצה 2])</f>
        <v>6 אדום</v>
      </c>
      <c r="B160" s="30" t="str">
        <f>" מקצה 2 - שולחן "&amp;A160&amp;" כניסה "&amp;IF(COUNTIF('תכנית לפי קבוצות'!$AA$3:$AA$6,A160)&gt;0,"א'","ב'")</f>
        <v xml:space="preserve"> מקצה 2 - שולחן 6 אדום כניסה ב'</v>
      </c>
      <c r="C160" s="204">
        <f>_xlfn.XLOOKUP(B148,TimeTable[מס"ד],TimeTable[שעת הרצה 2])</f>
        <v>0.51736111111111061</v>
      </c>
      <c r="D160" s="31">
        <f t="shared" si="54"/>
        <v>0.51944444444444393</v>
      </c>
      <c r="E160" s="76"/>
      <c r="F160" s="66" t="str">
        <f>_xlfn.XLOOKUP(G148,TimeTable[מס"ד],TimeTable[שולחן הרצה 2])</f>
        <v>5 אדום</v>
      </c>
      <c r="G160" s="30" t="str">
        <f>" מקצה 2 - שולחן "&amp;F160&amp;" כניסה "&amp;IF(COUNTIF('תכנית לפי קבוצות'!$AA$3:$AA$6,F160)&gt;0,"א'","ב'")</f>
        <v xml:space="preserve"> מקצה 2 - שולחן 5 אדום כניסה ב'</v>
      </c>
      <c r="H160" s="204">
        <f>_xlfn.XLOOKUP(G148,TimeTable[מס"ד],TimeTable[שעת הרצה 2])</f>
        <v>0.52430555555555503</v>
      </c>
      <c r="I160" s="31">
        <f t="shared" si="55"/>
        <v>0.52638888888888835</v>
      </c>
      <c r="J160" s="76"/>
      <c r="K160" s="66" t="str">
        <f>_xlfn.XLOOKUP(L148,TimeTable[מס"ד],TimeTable[שולחן הרצה 2])</f>
        <v>4 אדום</v>
      </c>
      <c r="L160" s="30" t="str">
        <f>" מקצה 2 - שולחן "&amp;K160&amp;" כניסה "&amp;IF(COUNTIF('תכנית לפי קבוצות'!$AA$3:$AA$6,K160)&gt;0,"א'","ב'")</f>
        <v xml:space="preserve"> מקצה 2 - שולחן 4 אדום כניסה א'</v>
      </c>
      <c r="M160" s="204">
        <f>_xlfn.XLOOKUP(L148,TimeTable[מס"ד],TimeTable[שעת הרצה 2])</f>
        <v>0.53472222222222165</v>
      </c>
      <c r="N160" s="31">
        <f t="shared" si="56"/>
        <v>0.53680555555555498</v>
      </c>
      <c r="O160" s="76"/>
      <c r="P160"/>
      <c r="Q160"/>
      <c r="R160"/>
      <c r="S160"/>
      <c r="T160"/>
    </row>
    <row r="161" spans="1:31" ht="19.95" customHeight="1" x14ac:dyDescent="0.65">
      <c r="A161" s="66" t="str">
        <f>_xlfn.XLOOKUP(B148,TimeTable[מס"ד],TimeTable[שולחן הרצה 3])</f>
        <v>7 אדום</v>
      </c>
      <c r="B161" s="30" t="str">
        <f>" מקצה 3 - שולחן "&amp;A161&amp;" כניסה "&amp;IF(COUNTIF('תכנית לפי קבוצות'!$AA$3:$AA$6,A161)&gt;0,"א'","ב'")</f>
        <v xml:space="preserve"> מקצה 3 - שולחן 7 אדום כניסה ב'</v>
      </c>
      <c r="C161" s="204">
        <f>_xlfn.XLOOKUP(B148,TimeTable[מס"ד],TimeTable[שעת הרצה 3])</f>
        <v>0.59374999999999922</v>
      </c>
      <c r="D161" s="31">
        <f t="shared" si="54"/>
        <v>0.59583333333333255</v>
      </c>
      <c r="E161" s="76"/>
      <c r="F161" s="66" t="str">
        <f>_xlfn.XLOOKUP(G148,TimeTable[מס"ד],TimeTable[שולחן הרצה 3])</f>
        <v>5 אדום</v>
      </c>
      <c r="G161" s="30" t="str">
        <f>" מקצה 3 - שולחן "&amp;F161&amp;" כניסה "&amp;IF(COUNTIF('תכנית לפי קבוצות'!$AA$3:$AA$6,F161)&gt;0,"א'","ב'")</f>
        <v xml:space="preserve"> מקצה 3 - שולחן 5 אדום כניסה ב'</v>
      </c>
      <c r="H161" s="204">
        <f>_xlfn.XLOOKUP(G148,TimeTable[מס"ד],TimeTable[שעת הרצה 3])</f>
        <v>0.60763888888888806</v>
      </c>
      <c r="I161" s="31">
        <f t="shared" si="55"/>
        <v>0.60972222222222139</v>
      </c>
      <c r="J161" s="76"/>
      <c r="K161" s="66" t="str">
        <f>_xlfn.XLOOKUP(L148,TimeTable[מס"ד],TimeTable[שולחן הרצה 3])</f>
        <v>3 אדום</v>
      </c>
      <c r="L161" s="30" t="str">
        <f>" מקצה 3 - שולחן "&amp;K161&amp;" כניסה "&amp;IF(COUNTIF('תכנית לפי קבוצות'!$AA$3:$AA$6,K161)&gt;0,"א'","ב'")</f>
        <v xml:space="preserve"> מקצה 3 - שולחן 3 אדום כניסה א'</v>
      </c>
      <c r="M161" s="204">
        <f>_xlfn.XLOOKUP(L148,TimeTable[מס"ד],TimeTable[שעת הרצה 3])</f>
        <v>0.61805555555555469</v>
      </c>
      <c r="N161" s="31">
        <f t="shared" si="56"/>
        <v>0.62013888888888802</v>
      </c>
      <c r="O161" s="76"/>
      <c r="P161"/>
      <c r="Q161"/>
      <c r="R161"/>
      <c r="S161"/>
      <c r="T161"/>
    </row>
    <row r="162" spans="1:31" s="69" customFormat="1" ht="19.95" customHeight="1" x14ac:dyDescent="0.65">
      <c r="A162" s="203">
        <f>pits+TIME(2,0,0)</f>
        <v>8.3333333333333329E-2</v>
      </c>
      <c r="B162" s="30" t="s">
        <v>192</v>
      </c>
      <c r="C162" s="204"/>
      <c r="D162" s="31"/>
      <c r="E162" s="75"/>
      <c r="F162" s="203">
        <f>pits+TIME(2,0,0)</f>
        <v>8.3333333333333329E-2</v>
      </c>
      <c r="G162" s="30" t="s">
        <v>192</v>
      </c>
      <c r="H162" s="204"/>
      <c r="I162" s="31"/>
      <c r="J162" s="75"/>
      <c r="K162" s="203">
        <f>pits+TIME(2,0,0)</f>
        <v>8.3333333333333329E-2</v>
      </c>
      <c r="L162" s="30" t="s">
        <v>192</v>
      </c>
      <c r="M162" s="204"/>
      <c r="N162" s="31"/>
      <c r="O162" s="75"/>
      <c r="P162"/>
      <c r="Q162"/>
      <c r="R162"/>
      <c r="S162"/>
      <c r="T162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</row>
    <row r="163" spans="1:31" s="69" customFormat="1" ht="19.95" customHeight="1" x14ac:dyDescent="0.65">
      <c r="A163" s="77" t="str">
        <f>_xlfn.XLOOKUP(B148,TimeTable[מס"ד],TimeTable[שולחן הרצת טורניר])</f>
        <v>5 כחול</v>
      </c>
      <c r="B163" s="30" t="str">
        <f>" טורניר ידידות - שולחן "&amp;A163&amp;" כניסה "&amp;IF(COUNTIF('תכנית לפי קבוצות'!$AA$3:$AA$6,A163)&gt;0,"א'","ב'")&amp;", עם קבוצה "&amp;_xlfn.XLOOKUP(B148,TeamList2[מס"ד],TeamList2[מס'' הקבוצה])</f>
        <v xml:space="preserve"> טורניר ידידות - שולחן 5 כחול כניסה ב', עם קבוצה 452</v>
      </c>
      <c r="C163" s="204">
        <f>_xlfn.XLOOKUP(_xlfn.XLOOKUP(B148,TeamList[מס"ד],TeamList[מס'' הקבוצה]),Table135[קבוצה],Table135[שעה])</f>
        <v>0.67013888888888884</v>
      </c>
      <c r="D163" s="31">
        <f t="shared" ref="D163" si="57">C163+TIME(0,3,0)</f>
        <v>0.67222222222222217</v>
      </c>
      <c r="E163" s="75"/>
      <c r="F163" s="77" t="str">
        <f>_xlfn.XLOOKUP(G148,TimeTable[מס"ד],TimeTable[שולחן הרצת טורניר])</f>
        <v>6 כחול</v>
      </c>
      <c r="G163" s="30" t="str">
        <f>" טורניר ידידות - שולחן "&amp;F163&amp;" כניסה "&amp;IF(COUNTIF('תכנית לפי קבוצות'!$AA$3:$AA$6,F163)&gt;0,"א'","ב'")&amp;", עם קבוצה "&amp;_xlfn.XLOOKUP(G148,TeamList2[מס"ד],TeamList2[מס'' הקבוצה])</f>
        <v xml:space="preserve"> טורניר ידידות - שולחן 6 כחול כניסה ב', עם קבוצה 693</v>
      </c>
      <c r="H163" s="204">
        <f>_xlfn.XLOOKUP(_xlfn.XLOOKUP(G148,TeamList[מס"ד],TeamList[מס'' הקבוצה]),Table135[קבוצה],Table135[שעה])</f>
        <v>0.67708333333333326</v>
      </c>
      <c r="I163" s="31">
        <f t="shared" ref="I163" si="58">H163+TIME(0,3,0)</f>
        <v>0.67916666666666659</v>
      </c>
      <c r="J163" s="75"/>
      <c r="K163" s="77" t="str">
        <f>_xlfn.XLOOKUP(L148,TimeTable[מס"ד],TimeTable[שולחן הרצת טורניר])</f>
        <v>7 כחול</v>
      </c>
      <c r="L163" s="30" t="str">
        <f>" טורניר ידידות - שולחן "&amp;K163&amp;" כניסה "&amp;IF(COUNTIF('תכנית לפי קבוצות'!$AA$3:$AA$6,K163)&gt;0,"א'","ב'")&amp;", עם קבוצה "&amp;_xlfn.XLOOKUP(L148,TeamList2[מס"ד],TeamList2[מס'' הקבוצה])</f>
        <v xml:space="preserve"> טורניר ידידות - שולחן 7 כחול כניסה ב', עם קבוצה 3288</v>
      </c>
      <c r="M163" s="204">
        <f>_xlfn.XLOOKUP(_xlfn.XLOOKUP(L148,TeamList[מס"ד],TeamList[מס'' הקבוצה]),Table135[קבוצה],Table135[שעה])</f>
        <v>0.68402777777777768</v>
      </c>
      <c r="N163" s="31">
        <f t="shared" ref="N163" si="59">M163+TIME(0,3,0)</f>
        <v>0.68611111111111101</v>
      </c>
      <c r="O163" s="75"/>
      <c r="P163"/>
      <c r="Q163"/>
      <c r="R163"/>
      <c r="S163"/>
      <c r="T163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</row>
    <row r="164" spans="1:31" s="69" customFormat="1" ht="19.95" customHeight="1" x14ac:dyDescent="0.65">
      <c r="A164" s="66"/>
      <c r="B164" s="139" t="str">
        <f>" "&amp;'תכנית לפי קבוצות'!$I$91</f>
        <v xml:space="preserve"> מסיבוטיקה</v>
      </c>
      <c r="C164" s="204">
        <f>מסיבוטיקה</f>
        <v>0.69444444444444453</v>
      </c>
      <c r="D164" s="31">
        <f>C165-TIME(0,5,0)</f>
        <v>0.70486111111111094</v>
      </c>
      <c r="E164" s="65"/>
      <c r="F164" s="66"/>
      <c r="G164" s="139" t="str">
        <f>" "&amp;'תכנית לפי קבוצות'!$I$91</f>
        <v xml:space="preserve"> מסיבוטיקה</v>
      </c>
      <c r="H164" s="204">
        <f>מסיבוטיקה</f>
        <v>0.69444444444444453</v>
      </c>
      <c r="I164" s="31">
        <f>H165-TIME(0,5,0)</f>
        <v>0.70486111111111094</v>
      </c>
      <c r="J164" s="65"/>
      <c r="K164" s="66"/>
      <c r="L164" s="139" t="str">
        <f>" "&amp;'תכנית לפי קבוצות'!$I$91</f>
        <v xml:space="preserve"> מסיבוטיקה</v>
      </c>
      <c r="M164" s="204">
        <f>מסיבוטיקה</f>
        <v>0.69444444444444453</v>
      </c>
      <c r="N164" s="31">
        <f>M165-TIME(0,5,0)</f>
        <v>0.70486111111111094</v>
      </c>
      <c r="O164" s="65"/>
      <c r="P164"/>
      <c r="Q164"/>
      <c r="R164"/>
      <c r="S164"/>
      <c r="T164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</row>
    <row r="165" spans="1:31" s="69" customFormat="1" ht="19.95" customHeight="1" thickBot="1" x14ac:dyDescent="0.8">
      <c r="A165" s="66"/>
      <c r="B165" s="70" t="s">
        <v>114</v>
      </c>
      <c r="C165" s="208">
        <f>סיום</f>
        <v>0.70833333333333315</v>
      </c>
      <c r="D165" s="209">
        <f>_xlfn.XLOOKUP(N,break_scheduler['# of teams],break_scheduler[END])</f>
        <v>0.73958333333333315</v>
      </c>
      <c r="E165" s="65"/>
      <c r="F165" s="66"/>
      <c r="G165" s="70" t="s">
        <v>114</v>
      </c>
      <c r="H165" s="208">
        <f>סיום</f>
        <v>0.70833333333333315</v>
      </c>
      <c r="I165" s="209">
        <f>_xlfn.XLOOKUP(N,break_scheduler['# of teams],break_scheduler[END])</f>
        <v>0.73958333333333315</v>
      </c>
      <c r="J165" s="65"/>
      <c r="K165" s="66"/>
      <c r="L165" s="70" t="s">
        <v>114</v>
      </c>
      <c r="M165" s="208">
        <f>סיום</f>
        <v>0.70833333333333315</v>
      </c>
      <c r="N165" s="209">
        <f>_xlfn.XLOOKUP(N,break_scheduler['# of teams],break_scheduler[END])</f>
        <v>0.73958333333333315</v>
      </c>
      <c r="O165" s="65"/>
      <c r="P165"/>
      <c r="Q165"/>
      <c r="R165"/>
      <c r="S165"/>
      <c r="T165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</row>
    <row r="166" spans="1:31" s="69" customFormat="1" ht="43.9" customHeight="1" x14ac:dyDescent="0.65">
      <c r="A166" s="210" t="s">
        <v>186</v>
      </c>
      <c r="B166" s="62"/>
      <c r="C166" s="62"/>
      <c r="D166" s="62"/>
      <c r="E166" s="62"/>
      <c r="F166" s="210" t="s">
        <v>186</v>
      </c>
      <c r="G166" s="62"/>
      <c r="H166" s="62"/>
      <c r="I166" s="62"/>
      <c r="J166" s="62"/>
      <c r="K166" s="210" t="s">
        <v>186</v>
      </c>
      <c r="L166" s="62"/>
      <c r="M166" s="62"/>
      <c r="N166" s="62"/>
      <c r="O166" s="62"/>
      <c r="P166"/>
      <c r="Q166"/>
      <c r="R166"/>
      <c r="S166"/>
      <c r="T16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</row>
    <row r="167" spans="1:31" s="69" customFormat="1" ht="19.95" customHeight="1" x14ac:dyDescent="0.65">
      <c r="A167" s="278" t="s">
        <v>187</v>
      </c>
      <c r="B167" s="278"/>
      <c r="C167" s="278"/>
      <c r="D167" s="278"/>
      <c r="E167" s="278"/>
      <c r="F167" s="278" t="s">
        <v>187</v>
      </c>
      <c r="G167" s="278"/>
      <c r="H167" s="278"/>
      <c r="I167" s="278"/>
      <c r="J167" s="278"/>
      <c r="K167" s="278" t="s">
        <v>187</v>
      </c>
      <c r="L167" s="278"/>
      <c r="M167" s="278"/>
      <c r="N167" s="278"/>
      <c r="O167" s="278"/>
      <c r="P167"/>
      <c r="Q167"/>
      <c r="R167"/>
      <c r="S167"/>
      <c r="T167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</row>
    <row r="168" spans="1:31" s="69" customFormat="1" ht="19.95" customHeight="1" x14ac:dyDescent="0.65">
      <c r="A168" s="279" t="s">
        <v>37</v>
      </c>
      <c r="B168" s="279"/>
      <c r="C168" s="279"/>
      <c r="D168" s="279"/>
      <c r="E168" s="279"/>
      <c r="F168" s="279" t="s">
        <v>37</v>
      </c>
      <c r="G168" s="279"/>
      <c r="H168" s="279"/>
      <c r="I168" s="279"/>
      <c r="J168" s="279"/>
      <c r="K168" s="279" t="s">
        <v>37</v>
      </c>
      <c r="L168" s="279"/>
      <c r="M168" s="279"/>
      <c r="N168" s="279"/>
      <c r="O168" s="279"/>
      <c r="P168"/>
      <c r="Q168"/>
      <c r="R168"/>
      <c r="S168"/>
      <c r="T168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</row>
    <row r="169" spans="1:31" ht="19.95" customHeight="1" x14ac:dyDescent="0.65">
      <c r="B169" s="67">
        <f>B148+1</f>
        <v>9</v>
      </c>
      <c r="G169" s="67">
        <f>G148+1</f>
        <v>23</v>
      </c>
      <c r="L169" s="67">
        <f>L148+1</f>
        <v>37</v>
      </c>
      <c r="P169"/>
      <c r="Q169"/>
      <c r="R169"/>
      <c r="S169"/>
      <c r="T169"/>
    </row>
    <row r="170" spans="1:31" ht="19.95" customHeight="1" x14ac:dyDescent="0.65">
      <c r="P170"/>
      <c r="Q170"/>
      <c r="R170"/>
      <c r="S170"/>
      <c r="T170"/>
    </row>
    <row r="171" spans="1:31" ht="19.95" customHeight="1" x14ac:dyDescent="0.65">
      <c r="P171"/>
      <c r="Q171"/>
      <c r="R171"/>
      <c r="S171"/>
      <c r="T171"/>
    </row>
    <row r="172" spans="1:31" ht="19.95" customHeight="1" x14ac:dyDescent="0.65">
      <c r="P172"/>
      <c r="Q172"/>
      <c r="R172"/>
      <c r="S172"/>
      <c r="T172"/>
    </row>
    <row r="173" spans="1:31" ht="19.95" customHeight="1" x14ac:dyDescent="0.65">
      <c r="P173"/>
      <c r="Q173"/>
      <c r="R173"/>
      <c r="S173"/>
      <c r="T173"/>
    </row>
    <row r="174" spans="1:31" ht="19.95" customHeight="1" thickBot="1" x14ac:dyDescent="0.8">
      <c r="P174"/>
      <c r="Q174"/>
      <c r="R174"/>
      <c r="S174"/>
      <c r="T174"/>
    </row>
    <row r="175" spans="1:31" ht="19.95" customHeight="1" thickBot="1" x14ac:dyDescent="0.8">
      <c r="A175" s="66"/>
      <c r="B175" s="275" t="str">
        <f>_xlfn.XLOOKUP(B169,TeamList[מס"ד],TeamList[מס'' הקבוצה])&amp;" "&amp;_xlfn.XLOOKUP(B169,TeamList[מס"ד],TeamList[שם הקבוצה])&amp;" "&amp;_xlfn.XLOOKUP(B169,TeamList[מס"ד],TeamList[ישוב])</f>
        <v>588 אבן סינא  כפר קרע</v>
      </c>
      <c r="C175" s="276"/>
      <c r="D175" s="277"/>
      <c r="E175" s="64"/>
      <c r="F175" s="66"/>
      <c r="G175" s="275" t="str">
        <f>_xlfn.XLOOKUP(G169,TeamList[מס"ד],TeamList[מס'' הקבוצה])&amp;" "&amp;_xlfn.XLOOKUP(G169,TeamList[מס"ד],TeamList[שם הקבוצה])&amp;" "&amp;_xlfn.XLOOKUP(G169,TeamList[מס"ד],TeamList[ישוב])</f>
        <v>1152 אל זהראא ב נצרת</v>
      </c>
      <c r="H175" s="276"/>
      <c r="I175" s="277"/>
      <c r="J175" s="64"/>
      <c r="K175" s="66"/>
      <c r="L175" s="275" t="str">
        <f>_xlfn.XLOOKUP(L169,TeamList[מס"ד],TeamList[מס'' הקבוצה])&amp;" "&amp;_xlfn.XLOOKUP(L169,TeamList[מס"ד],TeamList[שם הקבוצה])&amp;" "&amp;_xlfn.XLOOKUP(L169,TeamList[מס"ד],TeamList[ישוב])</f>
        <v>1300 מרכז מחוננים  עראבה</v>
      </c>
      <c r="M175" s="276"/>
      <c r="N175" s="277"/>
      <c r="O175" s="64"/>
      <c r="P175"/>
      <c r="Q175"/>
      <c r="R175"/>
      <c r="S175"/>
      <c r="T175"/>
    </row>
    <row r="176" spans="1:31" ht="19.95" customHeight="1" thickBot="1" x14ac:dyDescent="0.8">
      <c r="A176" s="66"/>
      <c r="B176" s="63" t="s">
        <v>35</v>
      </c>
      <c r="C176" s="206" t="s">
        <v>184</v>
      </c>
      <c r="D176" s="28" t="s">
        <v>185</v>
      </c>
      <c r="E176" s="64"/>
      <c r="F176" s="66"/>
      <c r="G176" s="63" t="s">
        <v>35</v>
      </c>
      <c r="H176" s="206" t="s">
        <v>184</v>
      </c>
      <c r="I176" s="28" t="s">
        <v>185</v>
      </c>
      <c r="J176" s="64"/>
      <c r="K176" s="66"/>
      <c r="L176" s="63" t="s">
        <v>35</v>
      </c>
      <c r="M176" s="206" t="s">
        <v>184</v>
      </c>
      <c r="N176" s="28" t="s">
        <v>185</v>
      </c>
      <c r="O176" s="64"/>
      <c r="P176"/>
      <c r="Q176"/>
      <c r="R176"/>
      <c r="S176"/>
      <c r="T176"/>
    </row>
    <row r="177" spans="1:31" ht="19.95" customHeight="1" x14ac:dyDescent="0.65">
      <c r="A177" s="66"/>
      <c r="B177" s="207" t="s">
        <v>113</v>
      </c>
      <c r="C177" s="205">
        <f>Opening</f>
        <v>0.41666666666666669</v>
      </c>
      <c r="D177" s="29">
        <f>C177+TIME(0,25,0)</f>
        <v>0.43402777777777779</v>
      </c>
      <c r="E177" s="74"/>
      <c r="F177" s="66"/>
      <c r="G177" s="207" t="s">
        <v>113</v>
      </c>
      <c r="H177" s="205">
        <f>Opening</f>
        <v>0.41666666666666669</v>
      </c>
      <c r="I177" s="29">
        <f>H177+TIME(0,25,0)</f>
        <v>0.43402777777777779</v>
      </c>
      <c r="J177" s="74"/>
      <c r="K177" s="66"/>
      <c r="L177" s="207" t="s">
        <v>113</v>
      </c>
      <c r="M177" s="205">
        <f>Opening</f>
        <v>0.41666666666666669</v>
      </c>
      <c r="N177" s="29">
        <f>M177+TIME(0,25,0)</f>
        <v>0.43402777777777779</v>
      </c>
      <c r="O177" s="74"/>
      <c r="P177"/>
      <c r="Q177"/>
      <c r="R177"/>
      <c r="S177"/>
      <c r="T177"/>
    </row>
    <row r="178" spans="1:31" ht="19.95" customHeight="1" x14ac:dyDescent="0.65">
      <c r="A178" s="66"/>
      <c r="B178" s="30" t="str">
        <f>CONCATENATE(" חדר שיפוט ",_xlfn.XLOOKUP(B169,TeamList[מס"ד],TeamList[חדר שיפוט]))</f>
        <v xml:space="preserve"> חדר שיפוט 2 אדום</v>
      </c>
      <c r="C178" s="204">
        <f>_xlfn.XLOOKUP(B169,TimeTable[מס"ד],TimeTable[שעת שיפוט])</f>
        <v>0.39583333333333331</v>
      </c>
      <c r="D178" s="31">
        <f>C178+JS</f>
        <v>0.4145833333333333</v>
      </c>
      <c r="E178" s="75"/>
      <c r="F178" s="66"/>
      <c r="G178" s="30" t="str">
        <f>CONCATENATE(" חדר שיפוט ",_xlfn.XLOOKUP(G169,TeamList[מס"ד],TeamList[חדר שיפוט]))</f>
        <v xml:space="preserve"> חדר שיפוט 2 אדום</v>
      </c>
      <c r="H178" s="204">
        <f>_xlfn.XLOOKUP(G169,TimeTable[מס"ד],TimeTable[שעת שיפוט])</f>
        <v>0.46875</v>
      </c>
      <c r="I178" s="31">
        <f>H178+JS</f>
        <v>0.48749999999999999</v>
      </c>
      <c r="J178" s="75"/>
      <c r="K178" s="66"/>
      <c r="L178" s="30" t="str">
        <f>CONCATENATE(" חדר שיפוט ",_xlfn.XLOOKUP(L169,TeamList[מס"ד],TeamList[חדר שיפוט]))</f>
        <v xml:space="preserve"> חדר שיפוט 2 אדום</v>
      </c>
      <c r="M178" s="204">
        <f>_xlfn.XLOOKUP(L169,TimeTable[מס"ד],TimeTable[שעת שיפוט])</f>
        <v>0.56249999999999989</v>
      </c>
      <c r="N178" s="31">
        <f>M178+JS</f>
        <v>0.58124999999999993</v>
      </c>
      <c r="O178" s="75"/>
      <c r="P178"/>
      <c r="Q178"/>
      <c r="R178"/>
      <c r="S178"/>
      <c r="T178"/>
    </row>
    <row r="179" spans="1:31" ht="19.95" customHeight="1" x14ac:dyDescent="0.65">
      <c r="A179" s="77" t="str">
        <f>_xlfn.XLOOKUP(B169,TimeTable[מס"ד],TimeTable[שולחן הרצת אימון])</f>
        <v>5 אדום</v>
      </c>
      <c r="B179" s="30" t="str">
        <f>" מקצה אימונים - שולחן "&amp;A179&amp;" כניסה "&amp;IF(COUNTIF('תכנית לפי קבוצות'!$AA$3:$AA$6,A179)&gt;0,"א'","ב'")</f>
        <v xml:space="preserve"> מקצה אימונים - שולחן 5 אדום כניסה ב'</v>
      </c>
      <c r="C179" s="204">
        <f>_xlfn.XLOOKUP(B169,TimeTable[מס"ד],TimeTable[שעת הרצת אימון])</f>
        <v>0.36874999999999997</v>
      </c>
      <c r="D179" s="31">
        <f>C179+TIME(0,3,0)</f>
        <v>0.37083333333333329</v>
      </c>
      <c r="E179" s="76"/>
      <c r="F179" s="77" t="str">
        <f>_xlfn.XLOOKUP(G169,TimeTable[מס"ד],TimeTable[שולחן הרצת אימון])</f>
        <v>4 אדום</v>
      </c>
      <c r="G179" s="30" t="str">
        <f>" מקצה אימונים - שולחן "&amp;F179&amp;" כניסה "&amp;IF(COUNTIF('תכנית לפי קבוצות'!$AA$3:$AA$6,F179)&gt;0,"א'","ב'")</f>
        <v xml:space="preserve"> מקצה אימונים - שולחן 4 אדום כניסה א'</v>
      </c>
      <c r="H179" s="204">
        <f>_xlfn.XLOOKUP(G169,TimeTable[מס"ד],TimeTable[שעת הרצת אימון])</f>
        <v>0.37291666666666662</v>
      </c>
      <c r="I179" s="31">
        <f>H179+TIME(0,3,0)</f>
        <v>0.37499999999999994</v>
      </c>
      <c r="J179" s="76"/>
      <c r="K179" s="77" t="str">
        <f>_xlfn.XLOOKUP(L169,TimeTable[מס"ד],TimeTable[שולחן הרצת אימון])</f>
        <v>4 אדום</v>
      </c>
      <c r="L179" s="30" t="str">
        <f>" מקצה אימונים - שולחן "&amp;K179&amp;" כניסה "&amp;IF(COUNTIF('תכנית לפי קבוצות'!$AA$3:$AA$6,K179)&gt;0,"א'","ב'")</f>
        <v xml:space="preserve"> מקצה אימונים - שולחן 4 אדום כניסה א'</v>
      </c>
      <c r="M179" s="204">
        <f>_xlfn.XLOOKUP(L169,TimeTable[מס"ד],TimeTable[שעת הרצת אימון])</f>
        <v>0.38124999999999992</v>
      </c>
      <c r="N179" s="31">
        <f>M179+TIME(0,3,0)</f>
        <v>0.38333333333333325</v>
      </c>
      <c r="O179" s="76"/>
      <c r="P179"/>
      <c r="Q179"/>
      <c r="R179"/>
      <c r="S179"/>
      <c r="T179"/>
    </row>
    <row r="180" spans="1:31" ht="19.95" customHeight="1" x14ac:dyDescent="0.65">
      <c r="A180" s="66" t="str">
        <f>_xlfn.XLOOKUP(B169,TimeTable[מס"ד],TimeTable[שולחן הרצה 1])</f>
        <v>8 אדום</v>
      </c>
      <c r="B180" s="30" t="str">
        <f>" מקצה 1 - שולחן "&amp;A180&amp;" כניסה "&amp;IF(COUNTIF('תכנית לפי קבוצות'!$AA$3:$AA$6,A180)&gt;0,"א'","ב'")</f>
        <v xml:space="preserve"> מקצה 1 - שולחן 8 אדום כניסה ב'</v>
      </c>
      <c r="C180" s="204">
        <f>_xlfn.XLOOKUP(B169,TimeTable[מס"ד],TimeTable[שעת הרצה 1])</f>
        <v>0.45833333333333298</v>
      </c>
      <c r="D180" s="31">
        <f t="shared" ref="D180:D182" si="60">C180+TIME(0,3,0)</f>
        <v>0.46041666666666631</v>
      </c>
      <c r="E180" s="76"/>
      <c r="F180" s="66" t="str">
        <f>_xlfn.XLOOKUP(G169,TimeTable[מס"ד],TimeTable[שולחן הרצה 1])</f>
        <v>3 אדום</v>
      </c>
      <c r="G180" s="30" t="str">
        <f>" מקצה 1 - שולחן "&amp;F180&amp;" כניסה "&amp;IF(COUNTIF('תכנית לפי קבוצות'!$AA$3:$AA$6,F180)&gt;0,"א'","ב'")</f>
        <v xml:space="preserve"> מקצה 1 - שולחן 3 אדום כניסה א'</v>
      </c>
      <c r="H180" s="204">
        <f>_xlfn.XLOOKUP(G169,TimeTable[מס"ד],TimeTable[שעת הרצה 1])</f>
        <v>0.44097222222222193</v>
      </c>
      <c r="I180" s="31">
        <f t="shared" ref="I180:I182" si="61">H180+TIME(0,3,0)</f>
        <v>0.44305555555555526</v>
      </c>
      <c r="J180" s="76"/>
      <c r="K180" s="66" t="str">
        <f>_xlfn.XLOOKUP(L169,TimeTable[מס"ד],TimeTable[שולחן הרצה 1])</f>
        <v>1 אדום</v>
      </c>
      <c r="L180" s="30" t="str">
        <f>" מקצה 1 - שולחן "&amp;K180&amp;" כניסה "&amp;IF(COUNTIF('תכנית לפי קבוצות'!$AA$3:$AA$6,K180)&gt;0,"א'","ב'")</f>
        <v xml:space="preserve"> מקצה 1 - שולחן 1 אדום כניסה א'</v>
      </c>
      <c r="M180" s="204">
        <f>_xlfn.XLOOKUP(L169,TimeTable[מס"ד],TimeTable[שעת הרצה 1])</f>
        <v>0.46180555555555519</v>
      </c>
      <c r="N180" s="31">
        <f t="shared" ref="N180:N182" si="62">M180+TIME(0,3,0)</f>
        <v>0.46388888888888852</v>
      </c>
      <c r="O180" s="76"/>
      <c r="P180"/>
      <c r="Q180"/>
      <c r="R180"/>
      <c r="S180"/>
      <c r="T180"/>
    </row>
    <row r="181" spans="1:31" ht="19.95" customHeight="1" x14ac:dyDescent="0.65">
      <c r="A181" s="66" t="str">
        <f>_xlfn.XLOOKUP(B169,TimeTable[מס"ד],TimeTable[שולחן הרצה 2])</f>
        <v>2 אדום</v>
      </c>
      <c r="B181" s="30" t="str">
        <f>" מקצה 2 - שולחן "&amp;A181&amp;" כניסה "&amp;IF(COUNTIF('תכנית לפי קבוצות'!$AA$3:$AA$6,A181)&gt;0,"א'","ב'")</f>
        <v xml:space="preserve"> מקצה 2 - שולחן 2 אדום כניסה א'</v>
      </c>
      <c r="C181" s="204">
        <f>_xlfn.XLOOKUP(B169,TimeTable[מס"ד],TimeTable[שעת הרצה 2])</f>
        <v>0.52083333333333282</v>
      </c>
      <c r="D181" s="31">
        <f t="shared" si="60"/>
        <v>0.52291666666666614</v>
      </c>
      <c r="E181" s="76"/>
      <c r="F181" s="66" t="str">
        <f>_xlfn.XLOOKUP(G169,TimeTable[מס"ד],TimeTable[שולחן הרצה 2])</f>
        <v>1 אדום</v>
      </c>
      <c r="G181" s="30" t="str">
        <f>" מקצה 2 - שולחן "&amp;F181&amp;" כניסה "&amp;IF(COUNTIF('תכנית לפי קבוצות'!$AA$3:$AA$6,F181)&gt;0,"א'","ב'")</f>
        <v xml:space="preserve"> מקצה 2 - שולחן 1 אדום כניסה א'</v>
      </c>
      <c r="H181" s="204">
        <f>_xlfn.XLOOKUP(G169,TimeTable[מס"ד],TimeTable[שעת הרצה 2])</f>
        <v>0.52777777777777724</v>
      </c>
      <c r="I181" s="31">
        <f t="shared" si="61"/>
        <v>0.52986111111111056</v>
      </c>
      <c r="J181" s="76"/>
      <c r="K181" s="66" t="str">
        <f>_xlfn.XLOOKUP(L169,TimeTable[מס"ד],TimeTable[שולחן הרצה 2])</f>
        <v>8 אדום</v>
      </c>
      <c r="L181" s="30" t="str">
        <f>" מקצה 2 - שולחן "&amp;K181&amp;" כניסה "&amp;IF(COUNTIF('תכנית לפי קבוצות'!$AA$3:$AA$6,K181)&gt;0,"א'","ב'")</f>
        <v xml:space="preserve"> מקצה 2 - שולחן 8 אדום כניסה ב'</v>
      </c>
      <c r="M181" s="204">
        <f>_xlfn.XLOOKUP(L169,TimeTable[מס"ד],TimeTable[שעת הרצה 2])</f>
        <v>0.53819444444444386</v>
      </c>
      <c r="N181" s="31">
        <f t="shared" si="62"/>
        <v>0.54027777777777719</v>
      </c>
      <c r="O181" s="76"/>
      <c r="P181"/>
      <c r="Q181"/>
      <c r="R181"/>
      <c r="S181"/>
      <c r="T181"/>
    </row>
    <row r="182" spans="1:31" ht="19.95" customHeight="1" x14ac:dyDescent="0.65">
      <c r="A182" s="66" t="str">
        <f>_xlfn.XLOOKUP(B169,TimeTable[מס"ד],TimeTable[שולחן הרצה 3])</f>
        <v>2 אדום</v>
      </c>
      <c r="B182" s="30" t="str">
        <f>" מקצה 3 - שולחן "&amp;A182&amp;" כניסה "&amp;IF(COUNTIF('תכנית לפי קבוצות'!$AA$3:$AA$6,A182)&gt;0,"א'","ב'")</f>
        <v xml:space="preserve"> מקצה 3 - שולחן 2 אדום כניסה א'</v>
      </c>
      <c r="C182" s="204">
        <f>_xlfn.XLOOKUP(B169,TimeTable[מס"ד],TimeTable[שעת הרצה 3])</f>
        <v>0.59722222222222143</v>
      </c>
      <c r="D182" s="31">
        <f t="shared" si="60"/>
        <v>0.59930555555555476</v>
      </c>
      <c r="E182" s="76"/>
      <c r="F182" s="66" t="str">
        <f>_xlfn.XLOOKUP(G169,TimeTable[מס"ד],TimeTable[שולחן הרצה 3])</f>
        <v>8 אדום</v>
      </c>
      <c r="G182" s="30" t="str">
        <f>" מקצה 3 - שולחן "&amp;F182&amp;" כניסה "&amp;IF(COUNTIF('תכנית לפי קבוצות'!$AA$3:$AA$6,F182)&gt;0,"א'","ב'")</f>
        <v xml:space="preserve"> מקצה 3 - שולחן 8 אדום כניסה ב'</v>
      </c>
      <c r="H182" s="204">
        <f>_xlfn.XLOOKUP(G169,TimeTable[מס"ד],TimeTable[שעת הרצה 3])</f>
        <v>0.60763888888888806</v>
      </c>
      <c r="I182" s="31">
        <f t="shared" si="61"/>
        <v>0.60972222222222139</v>
      </c>
      <c r="J182" s="76"/>
      <c r="K182" s="66" t="str">
        <f>_xlfn.XLOOKUP(L169,TimeTable[מס"ד],TimeTable[שולחן הרצה 3])</f>
        <v>6 אדום</v>
      </c>
      <c r="L182" s="30" t="str">
        <f>" מקצה 3 - שולחן "&amp;K182&amp;" כניסה "&amp;IF(COUNTIF('תכנית לפי קבוצות'!$AA$3:$AA$6,K182)&gt;0,"א'","ב'")</f>
        <v xml:space="preserve"> מקצה 3 - שולחן 6 אדום כניסה ב'</v>
      </c>
      <c r="M182" s="204">
        <f>_xlfn.XLOOKUP(L169,TimeTable[מס"ד],TimeTable[שעת הרצה 3])</f>
        <v>0.6215277777777769</v>
      </c>
      <c r="N182" s="31">
        <f t="shared" si="62"/>
        <v>0.62361111111111023</v>
      </c>
      <c r="O182" s="76"/>
      <c r="P182"/>
      <c r="Q182"/>
      <c r="R182"/>
      <c r="S182"/>
      <c r="T182"/>
    </row>
    <row r="183" spans="1:31" s="69" customFormat="1" ht="19.95" customHeight="1" x14ac:dyDescent="0.65">
      <c r="A183" s="203">
        <f>pits+TIME(2,0,0)</f>
        <v>8.3333333333333329E-2</v>
      </c>
      <c r="B183" s="30" t="s">
        <v>192</v>
      </c>
      <c r="C183" s="204"/>
      <c r="D183" s="31"/>
      <c r="E183" s="75"/>
      <c r="F183" s="203">
        <f>pits+TIME(2,0,0)</f>
        <v>8.3333333333333329E-2</v>
      </c>
      <c r="G183" s="30" t="s">
        <v>192</v>
      </c>
      <c r="H183" s="204"/>
      <c r="I183" s="31"/>
      <c r="J183" s="75"/>
      <c r="K183" s="203">
        <f>pits+TIME(2,0,0)</f>
        <v>8.3333333333333329E-2</v>
      </c>
      <c r="L183" s="30" t="s">
        <v>192</v>
      </c>
      <c r="M183" s="204"/>
      <c r="N183" s="31"/>
      <c r="O183" s="75"/>
      <c r="P183"/>
      <c r="Q183"/>
      <c r="R183"/>
      <c r="S183"/>
      <c r="T183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</row>
    <row r="184" spans="1:31" s="69" customFormat="1" ht="19.95" customHeight="1" x14ac:dyDescent="0.65">
      <c r="A184" s="77" t="str">
        <f>_xlfn.XLOOKUP(B169,TimeTable[מס"ד],TimeTable[שולחן הרצת טורניר])</f>
        <v>1 כחול</v>
      </c>
      <c r="B184" s="30" t="str">
        <f>" טורניר ידידות - שולחן "&amp;A184&amp;" כניסה "&amp;IF(COUNTIF('תכנית לפי קבוצות'!$AA$3:$AA$6,A184)&gt;0,"א'","ב'")&amp;", עם קבוצה "&amp;_xlfn.XLOOKUP(B169,TeamList2[מס"ד],TeamList2[מס'' הקבוצה])</f>
        <v xml:space="preserve"> טורניר ידידות - שולחן 1 כחול כניסה ב', עם קבוצה 3093</v>
      </c>
      <c r="C184" s="204">
        <f>_xlfn.XLOOKUP(_xlfn.XLOOKUP(B169,TeamList[מס"ד],TeamList[מס'' הקבוצה]),Table135[קבוצה],Table135[שעה])</f>
        <v>0.67361111111111105</v>
      </c>
      <c r="D184" s="31">
        <f t="shared" ref="D184" si="63">C184+TIME(0,3,0)</f>
        <v>0.67569444444444438</v>
      </c>
      <c r="E184" s="75"/>
      <c r="F184" s="77" t="str">
        <f>_xlfn.XLOOKUP(G169,TimeTable[מס"ד],TimeTable[שולחן הרצת טורניר])</f>
        <v>2 כחול</v>
      </c>
      <c r="G184" s="30" t="str">
        <f>" טורניר ידידות - שולחן "&amp;F184&amp;" כניסה "&amp;IF(COUNTIF('תכנית לפי קבוצות'!$AA$3:$AA$6,F184)&gt;0,"א'","ב'")&amp;", עם קבוצה "&amp;_xlfn.XLOOKUP(G169,TeamList2[מס"ד],TeamList2[מס'' הקבוצה])</f>
        <v xml:space="preserve"> טורניר ידידות - שולחן 2 כחול כניסה ב', עם קבוצה 3323</v>
      </c>
      <c r="H184" s="204">
        <f>_xlfn.XLOOKUP(_xlfn.XLOOKUP(G169,TeamList[מס"ד],TeamList[מס'' הקבוצה]),Table135[קבוצה],Table135[שעה])</f>
        <v>0.68055555555555547</v>
      </c>
      <c r="I184" s="31">
        <f t="shared" ref="I184" si="64">H184+TIME(0,3,0)</f>
        <v>0.6826388888888888</v>
      </c>
      <c r="J184" s="75"/>
      <c r="K184" s="77" t="str">
        <f>_xlfn.XLOOKUP(L169,TimeTable[מס"ד],TimeTable[שולחן הרצת טורניר])</f>
        <v>4 אדום</v>
      </c>
      <c r="L184" s="30" t="str">
        <f>" טורניר ידידות - שולחן "&amp;K184&amp;" כניסה "&amp;IF(COUNTIF('תכנית לפי קבוצות'!$AA$3:$AA$6,K184)&gt;0,"א'","ב'")&amp;", עם קבוצה "&amp;_xlfn.XLOOKUP(L169,TeamList2[מס"ד],TeamList2[מס'' הקבוצה])</f>
        <v xml:space="preserve"> טורניר ידידות - שולחן 4 אדום כניסה א', עם קבוצה 973</v>
      </c>
      <c r="M184" s="204">
        <f>_xlfn.XLOOKUP(_xlfn.XLOOKUP(L169,TeamList[מס"ד],TeamList[מס'' הקבוצה]),Table135[קבוצה],Table135[שעה])</f>
        <v>0.66666666666666663</v>
      </c>
      <c r="N184" s="31">
        <f t="shared" ref="N184" si="65">M184+TIME(0,3,0)</f>
        <v>0.66874999999999996</v>
      </c>
      <c r="O184" s="75"/>
      <c r="P184"/>
      <c r="Q184"/>
      <c r="R184"/>
      <c r="S184"/>
      <c r="T184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</row>
    <row r="185" spans="1:31" s="69" customFormat="1" ht="19.95" customHeight="1" x14ac:dyDescent="0.65">
      <c r="A185" s="66"/>
      <c r="B185" s="139" t="str">
        <f>" "&amp;'תכנית לפי קבוצות'!$I$91</f>
        <v xml:space="preserve"> מסיבוטיקה</v>
      </c>
      <c r="C185" s="204">
        <f>מסיבוטיקה</f>
        <v>0.69444444444444453</v>
      </c>
      <c r="D185" s="31">
        <f>C186-TIME(0,5,0)</f>
        <v>0.70486111111111094</v>
      </c>
      <c r="E185" s="65"/>
      <c r="F185" s="66"/>
      <c r="G185" s="139" t="str">
        <f>" "&amp;'תכנית לפי קבוצות'!$I$91</f>
        <v xml:space="preserve"> מסיבוטיקה</v>
      </c>
      <c r="H185" s="204">
        <f>מסיבוטיקה</f>
        <v>0.69444444444444453</v>
      </c>
      <c r="I185" s="31">
        <f>H186-TIME(0,5,0)</f>
        <v>0.70486111111111094</v>
      </c>
      <c r="J185" s="65"/>
      <c r="K185" s="66"/>
      <c r="L185" s="139" t="str">
        <f>" "&amp;'תכנית לפי קבוצות'!$I$91</f>
        <v xml:space="preserve"> מסיבוטיקה</v>
      </c>
      <c r="M185" s="204">
        <f>מסיבוטיקה</f>
        <v>0.69444444444444453</v>
      </c>
      <c r="N185" s="31">
        <f>M186-TIME(0,5,0)</f>
        <v>0.70486111111111094</v>
      </c>
      <c r="O185" s="65"/>
      <c r="P185"/>
      <c r="Q185"/>
      <c r="R185"/>
      <c r="S185"/>
      <c r="T185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</row>
    <row r="186" spans="1:31" s="69" customFormat="1" ht="19.95" customHeight="1" thickBot="1" x14ac:dyDescent="0.8">
      <c r="A186" s="66"/>
      <c r="B186" s="70" t="s">
        <v>114</v>
      </c>
      <c r="C186" s="208">
        <f>סיום</f>
        <v>0.70833333333333315</v>
      </c>
      <c r="D186" s="209">
        <f>_xlfn.XLOOKUP(N,break_scheduler['# of teams],break_scheduler[END])</f>
        <v>0.73958333333333315</v>
      </c>
      <c r="E186" s="65"/>
      <c r="F186" s="66"/>
      <c r="G186" s="70" t="s">
        <v>114</v>
      </c>
      <c r="H186" s="208">
        <f>סיום</f>
        <v>0.70833333333333315</v>
      </c>
      <c r="I186" s="209">
        <f>_xlfn.XLOOKUP(N,break_scheduler['# of teams],break_scheduler[END])</f>
        <v>0.73958333333333315</v>
      </c>
      <c r="J186" s="65"/>
      <c r="K186" s="66"/>
      <c r="L186" s="70" t="s">
        <v>114</v>
      </c>
      <c r="M186" s="208">
        <f>סיום</f>
        <v>0.70833333333333315</v>
      </c>
      <c r="N186" s="209">
        <f>_xlfn.XLOOKUP(N,break_scheduler['# of teams],break_scheduler[END])</f>
        <v>0.73958333333333315</v>
      </c>
      <c r="O186" s="65"/>
      <c r="P186"/>
      <c r="Q186"/>
      <c r="R186"/>
      <c r="S186"/>
      <c r="T18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</row>
    <row r="187" spans="1:31" s="69" customFormat="1" ht="43.9" customHeight="1" x14ac:dyDescent="0.65">
      <c r="A187" s="210" t="s">
        <v>186</v>
      </c>
      <c r="B187" s="62"/>
      <c r="C187" s="62"/>
      <c r="D187" s="62"/>
      <c r="E187" s="62"/>
      <c r="F187" s="210" t="s">
        <v>186</v>
      </c>
      <c r="G187" s="62"/>
      <c r="H187" s="62"/>
      <c r="I187" s="62"/>
      <c r="J187" s="62"/>
      <c r="K187" s="210" t="s">
        <v>186</v>
      </c>
      <c r="L187" s="62"/>
      <c r="M187" s="62"/>
      <c r="N187" s="62"/>
      <c r="O187" s="62"/>
      <c r="P187"/>
      <c r="Q187"/>
      <c r="R187"/>
      <c r="S187"/>
      <c r="T187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</row>
    <row r="188" spans="1:31" s="69" customFormat="1" ht="19.95" customHeight="1" x14ac:dyDescent="0.65">
      <c r="A188" s="278" t="s">
        <v>187</v>
      </c>
      <c r="B188" s="278"/>
      <c r="C188" s="278"/>
      <c r="D188" s="278"/>
      <c r="E188" s="278"/>
      <c r="F188" s="278" t="s">
        <v>187</v>
      </c>
      <c r="G188" s="278"/>
      <c r="H188" s="278"/>
      <c r="I188" s="278"/>
      <c r="J188" s="278"/>
      <c r="K188" s="278" t="s">
        <v>187</v>
      </c>
      <c r="L188" s="278"/>
      <c r="M188" s="278"/>
      <c r="N188" s="278"/>
      <c r="O188" s="278"/>
      <c r="P188"/>
      <c r="Q188"/>
      <c r="R188"/>
      <c r="S188"/>
      <c r="T188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</row>
    <row r="189" spans="1:31" s="69" customFormat="1" ht="19.95" customHeight="1" x14ac:dyDescent="0.65">
      <c r="A189" s="279" t="s">
        <v>37</v>
      </c>
      <c r="B189" s="279"/>
      <c r="C189" s="279"/>
      <c r="D189" s="279"/>
      <c r="E189" s="279"/>
      <c r="F189" s="279" t="s">
        <v>37</v>
      </c>
      <c r="G189" s="279"/>
      <c r="H189" s="279"/>
      <c r="I189" s="279"/>
      <c r="J189" s="279"/>
      <c r="K189" s="279" t="s">
        <v>37</v>
      </c>
      <c r="L189" s="279"/>
      <c r="M189" s="279"/>
      <c r="N189" s="279"/>
      <c r="O189" s="279"/>
      <c r="P189"/>
      <c r="Q189"/>
      <c r="R189"/>
      <c r="S189"/>
      <c r="T189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</row>
    <row r="190" spans="1:31" ht="19.95" customHeight="1" x14ac:dyDescent="0.65">
      <c r="B190" s="67">
        <f>B169+1</f>
        <v>10</v>
      </c>
      <c r="G190" s="67">
        <f>G169+1</f>
        <v>24</v>
      </c>
      <c r="L190" s="67">
        <f>L169+1</f>
        <v>38</v>
      </c>
      <c r="P190"/>
      <c r="Q190"/>
      <c r="R190"/>
      <c r="S190"/>
      <c r="T190"/>
    </row>
    <row r="191" spans="1:31" ht="19.95" customHeight="1" x14ac:dyDescent="0.65">
      <c r="P191"/>
      <c r="Q191"/>
      <c r="R191"/>
      <c r="S191"/>
      <c r="T191"/>
    </row>
    <row r="192" spans="1:31" ht="19.95" customHeight="1" x14ac:dyDescent="0.65">
      <c r="P192"/>
      <c r="Q192"/>
      <c r="R192"/>
      <c r="S192"/>
      <c r="T192"/>
    </row>
    <row r="193" spans="1:31" ht="19.95" customHeight="1" x14ac:dyDescent="0.65">
      <c r="P193"/>
      <c r="Q193"/>
      <c r="R193"/>
      <c r="S193"/>
      <c r="T193"/>
    </row>
    <row r="194" spans="1:31" ht="19.95" customHeight="1" x14ac:dyDescent="0.65">
      <c r="P194"/>
      <c r="Q194"/>
      <c r="R194"/>
      <c r="S194"/>
      <c r="T194"/>
    </row>
    <row r="195" spans="1:31" ht="19.95" customHeight="1" thickBot="1" x14ac:dyDescent="0.8">
      <c r="P195"/>
      <c r="Q195"/>
      <c r="R195"/>
      <c r="S195"/>
      <c r="T195"/>
    </row>
    <row r="196" spans="1:31" ht="19.95" customHeight="1" thickBot="1" x14ac:dyDescent="0.8">
      <c r="A196" s="66"/>
      <c r="B196" s="275" t="str">
        <f>_xlfn.XLOOKUP(B190,TeamList[מס"ד],TeamList[מס'' הקבוצה])&amp;" "&amp;_xlfn.XLOOKUP(B190,TeamList[מס"ד],TeamList[שם הקבוצה])&amp;" "&amp;_xlfn.XLOOKUP(B190,TeamList[מס"ד],TeamList[ישוב])</f>
        <v>1371 אלזהראוי אכסאל</v>
      </c>
      <c r="C196" s="276"/>
      <c r="D196" s="277"/>
      <c r="E196" s="64"/>
      <c r="F196" s="66"/>
      <c r="G196" s="275" t="str">
        <f>_xlfn.XLOOKUP(G190,TeamList[מס"ד],TeamList[מס'' הקבוצה])&amp;" "&amp;_xlfn.XLOOKUP(G190,TeamList[מס"ד],TeamList[שם הקבוצה])&amp;" "&amp;_xlfn.XLOOKUP(G190,TeamList[מס"ד],TeamList[ישוב])</f>
        <v>1864 אפרתה ירושלים</v>
      </c>
      <c r="H196" s="276"/>
      <c r="I196" s="277"/>
      <c r="J196" s="64"/>
      <c r="K196" s="66"/>
      <c r="L196" s="275" t="str">
        <f>_xlfn.XLOOKUP(L190,TeamList[מס"ד],TeamList[מס'' הקבוצה])&amp;" "&amp;_xlfn.XLOOKUP(L190,TeamList[מס"ד],TeamList[שם הקבוצה])&amp;" "&amp;_xlfn.XLOOKUP(L190,TeamList[מס"ד],TeamList[ישוב])</f>
        <v>3340 עמי אסף  דימונה</v>
      </c>
      <c r="M196" s="276"/>
      <c r="N196" s="277"/>
      <c r="O196" s="64"/>
      <c r="P196"/>
      <c r="Q196"/>
      <c r="R196"/>
      <c r="S196"/>
      <c r="T196"/>
    </row>
    <row r="197" spans="1:31" ht="19.95" customHeight="1" thickBot="1" x14ac:dyDescent="0.8">
      <c r="A197" s="66"/>
      <c r="B197" s="63" t="s">
        <v>35</v>
      </c>
      <c r="C197" s="206" t="s">
        <v>184</v>
      </c>
      <c r="D197" s="28" t="s">
        <v>185</v>
      </c>
      <c r="E197" s="64"/>
      <c r="F197" s="66"/>
      <c r="G197" s="63" t="s">
        <v>35</v>
      </c>
      <c r="H197" s="206" t="s">
        <v>184</v>
      </c>
      <c r="I197" s="28" t="s">
        <v>185</v>
      </c>
      <c r="J197" s="64"/>
      <c r="K197" s="66"/>
      <c r="L197" s="63" t="s">
        <v>35</v>
      </c>
      <c r="M197" s="206" t="s">
        <v>184</v>
      </c>
      <c r="N197" s="28" t="s">
        <v>185</v>
      </c>
      <c r="O197" s="64"/>
      <c r="P197"/>
      <c r="Q197"/>
      <c r="R197"/>
      <c r="S197"/>
      <c r="T197"/>
    </row>
    <row r="198" spans="1:31" ht="19.95" customHeight="1" x14ac:dyDescent="0.65">
      <c r="A198" s="66"/>
      <c r="B198" s="207" t="s">
        <v>113</v>
      </c>
      <c r="C198" s="205">
        <f>Opening</f>
        <v>0.41666666666666669</v>
      </c>
      <c r="D198" s="29">
        <f>C198+TIME(0,25,0)</f>
        <v>0.43402777777777779</v>
      </c>
      <c r="E198" s="74"/>
      <c r="F198" s="66"/>
      <c r="G198" s="207" t="s">
        <v>113</v>
      </c>
      <c r="H198" s="205">
        <f>Opening</f>
        <v>0.41666666666666669</v>
      </c>
      <c r="I198" s="29">
        <f>H198+TIME(0,25,0)</f>
        <v>0.43402777777777779</v>
      </c>
      <c r="J198" s="74"/>
      <c r="K198" s="66"/>
      <c r="L198" s="207" t="s">
        <v>113</v>
      </c>
      <c r="M198" s="205">
        <f>Opening</f>
        <v>0.41666666666666669</v>
      </c>
      <c r="N198" s="29">
        <f>M198+TIME(0,25,0)</f>
        <v>0.43402777777777779</v>
      </c>
      <c r="O198" s="74"/>
      <c r="P198"/>
      <c r="Q198"/>
      <c r="R198"/>
      <c r="S198"/>
      <c r="T198"/>
    </row>
    <row r="199" spans="1:31" ht="19.95" customHeight="1" x14ac:dyDescent="0.65">
      <c r="A199" s="66"/>
      <c r="B199" s="30" t="str">
        <f>CONCATENATE(" חדר שיפוט ",_xlfn.XLOOKUP(B190,TeamList[מס"ד],TeamList[חדר שיפוט]))</f>
        <v xml:space="preserve"> חדר שיפוט 3 אדום</v>
      </c>
      <c r="C199" s="204">
        <f>_xlfn.XLOOKUP(B190,TimeTable[מס"ד],TimeTable[שעת שיפוט])</f>
        <v>0.39583333333333331</v>
      </c>
      <c r="D199" s="31">
        <f>C199+JS</f>
        <v>0.4145833333333333</v>
      </c>
      <c r="E199" s="75"/>
      <c r="F199" s="66"/>
      <c r="G199" s="30" t="str">
        <f>CONCATENATE(" חדר שיפוט ",_xlfn.XLOOKUP(G190,TeamList[מס"ד],TeamList[חדר שיפוט]))</f>
        <v xml:space="preserve"> חדר שיפוט 3 אדום</v>
      </c>
      <c r="H199" s="204">
        <f>_xlfn.XLOOKUP(G190,TimeTable[מס"ד],TimeTable[שעת שיפוט])</f>
        <v>0.46875</v>
      </c>
      <c r="I199" s="31">
        <f>H199+JS</f>
        <v>0.48749999999999999</v>
      </c>
      <c r="J199" s="75"/>
      <c r="K199" s="66"/>
      <c r="L199" s="30" t="str">
        <f>CONCATENATE(" חדר שיפוט ",_xlfn.XLOOKUP(L190,TeamList[מס"ד],TeamList[חדר שיפוט]))</f>
        <v xml:space="preserve"> חדר שיפוט 3 אדום</v>
      </c>
      <c r="M199" s="204">
        <f>_xlfn.XLOOKUP(L190,TimeTable[מס"ד],TimeTable[שעת שיפוט])</f>
        <v>0.56249999999999989</v>
      </c>
      <c r="N199" s="31">
        <f>M199+JS</f>
        <v>0.58124999999999993</v>
      </c>
      <c r="O199" s="75"/>
      <c r="P199"/>
      <c r="Q199"/>
      <c r="R199"/>
      <c r="S199"/>
      <c r="T199"/>
    </row>
    <row r="200" spans="1:31" ht="19.95" customHeight="1" x14ac:dyDescent="0.65">
      <c r="A200" s="77" t="str">
        <f>_xlfn.XLOOKUP(B190,TimeTable[מס"ד],TimeTable[שולחן הרצת אימון])</f>
        <v>1 אדום</v>
      </c>
      <c r="B200" s="30" t="str">
        <f>" מקצה אימונים - שולחן "&amp;A200&amp;" כניסה "&amp;IF(COUNTIF('תכנית לפי קבוצות'!$AA$3:$AA$6,A200)&gt;0,"א'","ב'")</f>
        <v xml:space="preserve"> מקצה אימונים - שולחן 1 אדום כניסה א'</v>
      </c>
      <c r="C200" s="204">
        <f>_xlfn.XLOOKUP(B190,TimeTable[מס"ד],TimeTable[שעת הרצת אימון])</f>
        <v>0.37291666666666662</v>
      </c>
      <c r="D200" s="31">
        <f>C200+TIME(0,3,0)</f>
        <v>0.37499999999999994</v>
      </c>
      <c r="E200" s="76"/>
      <c r="F200" s="77" t="str">
        <f>_xlfn.XLOOKUP(G190,TimeTable[מס"ד],TimeTable[שולחן הרצת אימון])</f>
        <v>8 אדום</v>
      </c>
      <c r="G200" s="30" t="str">
        <f>" מקצה אימונים - שולחן "&amp;F200&amp;" כניסה "&amp;IF(COUNTIF('תכנית לפי קבוצות'!$AA$3:$AA$6,F200)&gt;0,"א'","ב'")</f>
        <v xml:space="preserve"> מקצה אימונים - שולחן 8 אדום כניסה ב'</v>
      </c>
      <c r="H200" s="204">
        <f>_xlfn.XLOOKUP(G190,TimeTable[מס"ד],TimeTable[שעת הרצת אימון])</f>
        <v>0.37708333333333327</v>
      </c>
      <c r="I200" s="31">
        <f>H200+TIME(0,3,0)</f>
        <v>0.3791666666666666</v>
      </c>
      <c r="J200" s="76"/>
      <c r="K200" s="77" t="str">
        <f>_xlfn.XLOOKUP(L190,TimeTable[מס"ד],TimeTable[שולחן הרצת אימון])</f>
        <v>8 אדום</v>
      </c>
      <c r="L200" s="30" t="str">
        <f>" מקצה אימונים - שולחן "&amp;K200&amp;" כניסה "&amp;IF(COUNTIF('תכנית לפי קבוצות'!$AA$3:$AA$6,K200)&gt;0,"א'","ב'")</f>
        <v xml:space="preserve"> מקצה אימונים - שולחן 8 אדום כניסה ב'</v>
      </c>
      <c r="M200" s="204">
        <f>_xlfn.XLOOKUP(L190,TimeTable[מס"ד],TimeTable[שעת הרצת אימון])</f>
        <v>0.38541666666666663</v>
      </c>
      <c r="N200" s="31">
        <f>M200+TIME(0,3,0)</f>
        <v>0.38749999999999996</v>
      </c>
      <c r="O200" s="76"/>
      <c r="P200"/>
      <c r="Q200"/>
      <c r="R200"/>
      <c r="S200"/>
      <c r="T200"/>
    </row>
    <row r="201" spans="1:31" ht="19.95" customHeight="1" x14ac:dyDescent="0.65">
      <c r="A201" s="66" t="str">
        <f>_xlfn.XLOOKUP(B190,TimeTable[מס"ד],TimeTable[שולחן הרצה 1])</f>
        <v>1 אדום</v>
      </c>
      <c r="B201" s="30" t="str">
        <f>" מקצה 1 - שולחן "&amp;A201&amp;" כניסה "&amp;IF(COUNTIF('תכנית לפי קבוצות'!$AA$3:$AA$6,A201)&gt;0,"א'","ב'")</f>
        <v xml:space="preserve"> מקצה 1 - שולחן 1 אדום כניסה א'</v>
      </c>
      <c r="C201" s="204">
        <f>_xlfn.XLOOKUP(B190,TimeTable[מס"ד],TimeTable[שעת הרצה 1])</f>
        <v>0.45486111111111077</v>
      </c>
      <c r="D201" s="31">
        <f t="shared" ref="D201:D203" si="66">C201+TIME(0,3,0)</f>
        <v>0.4569444444444441</v>
      </c>
      <c r="E201" s="76"/>
      <c r="F201" s="66" t="str">
        <f>_xlfn.XLOOKUP(G190,TimeTable[מס"ד],TimeTable[שולחן הרצה 1])</f>
        <v>7 אדום</v>
      </c>
      <c r="G201" s="30" t="str">
        <f>" מקצה 1 - שולחן "&amp;F201&amp;" כניסה "&amp;IF(COUNTIF('תכנית לפי קבוצות'!$AA$3:$AA$6,F201)&gt;0,"א'","ב'")</f>
        <v xml:space="preserve"> מקצה 1 - שולחן 7 אדום כניסה ב'</v>
      </c>
      <c r="H201" s="204">
        <f>_xlfn.XLOOKUP(G190,TimeTable[מס"ד],TimeTable[שעת הרצה 1])</f>
        <v>0.44444444444444414</v>
      </c>
      <c r="I201" s="31">
        <f t="shared" ref="I201:I203" si="67">H201+TIME(0,3,0)</f>
        <v>0.44652777777777747</v>
      </c>
      <c r="J201" s="76"/>
      <c r="K201" s="66" t="str">
        <f>_xlfn.XLOOKUP(L190,TimeTable[מס"ד],TimeTable[שולחן הרצה 1])</f>
        <v>5 אדום</v>
      </c>
      <c r="L201" s="30" t="str">
        <f>" מקצה 1 - שולחן "&amp;K201&amp;" כניסה "&amp;IF(COUNTIF('תכנית לפי קבוצות'!$AA$3:$AA$6,K201)&gt;0,"א'","ב'")</f>
        <v xml:space="preserve"> מקצה 1 - שולחן 5 אדום כניסה ב'</v>
      </c>
      <c r="M201" s="204">
        <f>_xlfn.XLOOKUP(L190,TimeTable[מס"ד],TimeTable[שעת הרצה 1])</f>
        <v>0.4652777777777774</v>
      </c>
      <c r="N201" s="31">
        <f t="shared" ref="N201:N203" si="68">M201+TIME(0,3,0)</f>
        <v>0.46736111111111073</v>
      </c>
      <c r="O201" s="76"/>
      <c r="P201"/>
      <c r="Q201"/>
      <c r="R201"/>
      <c r="S201"/>
      <c r="T201"/>
    </row>
    <row r="202" spans="1:31" ht="19.95" customHeight="1" x14ac:dyDescent="0.65">
      <c r="A202" s="66" t="str">
        <f>_xlfn.XLOOKUP(B190,TimeTable[מס"ד],TimeTable[שולחן הרצה 2])</f>
        <v>1 אדום</v>
      </c>
      <c r="B202" s="30" t="str">
        <f>" מקצה 2 - שולחן "&amp;A202&amp;" כניסה "&amp;IF(COUNTIF('תכנית לפי קבוצות'!$AA$3:$AA$6,A202)&gt;0,"א'","ב'")</f>
        <v xml:space="preserve"> מקצה 2 - שולחן 1 אדום כניסה א'</v>
      </c>
      <c r="C202" s="204">
        <f>_xlfn.XLOOKUP(B190,TimeTable[מס"ד],TimeTable[שעת הרצה 2])</f>
        <v>0.5138888888888884</v>
      </c>
      <c r="D202" s="31">
        <f t="shared" si="66"/>
        <v>0.51597222222222172</v>
      </c>
      <c r="E202" s="76"/>
      <c r="F202" s="66" t="str">
        <f>_xlfn.XLOOKUP(G190,TimeTable[מס"ד],TimeTable[שולחן הרצה 2])</f>
        <v>5 אדום</v>
      </c>
      <c r="G202" s="30" t="str">
        <f>" מקצה 2 - שולחן "&amp;F202&amp;" כניסה "&amp;IF(COUNTIF('תכנית לפי קבוצות'!$AA$3:$AA$6,F202)&gt;0,"א'","ב'")</f>
        <v xml:space="preserve"> מקצה 2 - שולחן 5 אדום כניסה ב'</v>
      </c>
      <c r="H202" s="204">
        <f>_xlfn.XLOOKUP(G190,TimeTable[מס"ד],TimeTable[שעת הרצה 2])</f>
        <v>0.53124999999999944</v>
      </c>
      <c r="I202" s="31">
        <f t="shared" si="67"/>
        <v>0.53333333333333277</v>
      </c>
      <c r="J202" s="76"/>
      <c r="K202" s="66" t="str">
        <f>_xlfn.XLOOKUP(L190,TimeTable[מס"ד],TimeTable[שולחן הרצה 2])</f>
        <v>4 אדום</v>
      </c>
      <c r="L202" s="30" t="str">
        <f>" מקצה 2 - שולחן "&amp;K202&amp;" כניסה "&amp;IF(COUNTIF('תכנית לפי קבוצות'!$AA$3:$AA$6,K202)&gt;0,"א'","ב'")</f>
        <v xml:space="preserve"> מקצה 2 - שולחן 4 אדום כניסה א'</v>
      </c>
      <c r="M202" s="204">
        <f>_xlfn.XLOOKUP(L190,TimeTable[מס"ד],TimeTable[שעת הרצה 2])</f>
        <v>0.54166666666666607</v>
      </c>
      <c r="N202" s="31">
        <f t="shared" si="68"/>
        <v>0.5437499999999994</v>
      </c>
      <c r="O202" s="76"/>
      <c r="P202"/>
      <c r="Q202"/>
      <c r="R202"/>
      <c r="S202"/>
      <c r="T202"/>
    </row>
    <row r="203" spans="1:31" ht="19.95" customHeight="1" x14ac:dyDescent="0.65">
      <c r="A203" s="66" t="str">
        <f>_xlfn.XLOOKUP(B190,TimeTable[מס"ד],TimeTable[שולחן הרצה 3])</f>
        <v>1 אדום</v>
      </c>
      <c r="B203" s="30" t="str">
        <f>" מקצה 3 - שולחן "&amp;A203&amp;" כניסה "&amp;IF(COUNTIF('תכנית לפי קבוצות'!$AA$3:$AA$6,A203)&gt;0,"א'","ב'")</f>
        <v xml:space="preserve"> מקצה 3 - שולחן 1 אדום כניסה א'</v>
      </c>
      <c r="C203" s="204">
        <f>_xlfn.XLOOKUP(B190,TimeTable[מס"ד],TimeTable[שעת הרצה 3])</f>
        <v>0.59722222222222143</v>
      </c>
      <c r="D203" s="31">
        <f t="shared" si="66"/>
        <v>0.59930555555555476</v>
      </c>
      <c r="E203" s="76"/>
      <c r="F203" s="66" t="str">
        <f>_xlfn.XLOOKUP(G190,TimeTable[מס"ד],TimeTable[שולחן הרצה 3])</f>
        <v>7 אדום</v>
      </c>
      <c r="G203" s="30" t="str">
        <f>" מקצה 3 - שולחן "&amp;F203&amp;" כניסה "&amp;IF(COUNTIF('תכנית לפי קבוצות'!$AA$3:$AA$6,F203)&gt;0,"א'","ב'")</f>
        <v xml:space="preserve"> מקצה 3 - שולחן 7 אדום כניסה ב'</v>
      </c>
      <c r="H203" s="204">
        <f>_xlfn.XLOOKUP(G190,TimeTable[מס"ד],TimeTable[שעת הרצה 3])</f>
        <v>0.60763888888888806</v>
      </c>
      <c r="I203" s="31">
        <f t="shared" si="67"/>
        <v>0.60972222222222139</v>
      </c>
      <c r="J203" s="76"/>
      <c r="K203" s="66" t="str">
        <f>_xlfn.XLOOKUP(L190,TimeTable[מס"ד],TimeTable[שולחן הרצה 3])</f>
        <v>5 אדום</v>
      </c>
      <c r="L203" s="30" t="str">
        <f>" מקצה 3 - שולחן "&amp;K203&amp;" כניסה "&amp;IF(COUNTIF('תכנית לפי קבוצות'!$AA$3:$AA$6,K203)&gt;0,"א'","ב'")</f>
        <v xml:space="preserve"> מקצה 3 - שולחן 5 אדום כניסה ב'</v>
      </c>
      <c r="M203" s="204">
        <f>_xlfn.XLOOKUP(L190,TimeTable[מס"ד],TimeTable[שעת הרצה 3])</f>
        <v>0.6215277777777769</v>
      </c>
      <c r="N203" s="31">
        <f t="shared" si="68"/>
        <v>0.62361111111111023</v>
      </c>
      <c r="O203" s="76"/>
      <c r="P203"/>
      <c r="Q203"/>
      <c r="R203"/>
      <c r="S203"/>
      <c r="T203"/>
    </row>
    <row r="204" spans="1:31" s="69" customFormat="1" ht="19.95" customHeight="1" x14ac:dyDescent="0.65">
      <c r="A204" s="203">
        <f>pits+TIME(2,0,0)</f>
        <v>8.3333333333333329E-2</v>
      </c>
      <c r="B204" s="30" t="s">
        <v>192</v>
      </c>
      <c r="C204" s="204"/>
      <c r="D204" s="31"/>
      <c r="E204" s="75"/>
      <c r="F204" s="203">
        <f>pits+TIME(2,0,0)</f>
        <v>8.3333333333333329E-2</v>
      </c>
      <c r="G204" s="30" t="s">
        <v>192</v>
      </c>
      <c r="H204" s="204"/>
      <c r="I204" s="31"/>
      <c r="J204" s="75"/>
      <c r="K204" s="203">
        <f>pits+TIME(2,0,0)</f>
        <v>8.3333333333333329E-2</v>
      </c>
      <c r="L204" s="30" t="s">
        <v>192</v>
      </c>
      <c r="M204" s="204"/>
      <c r="N204" s="31"/>
      <c r="O204" s="75"/>
      <c r="P204"/>
      <c r="Q204"/>
      <c r="R204"/>
      <c r="S204"/>
      <c r="T204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</row>
    <row r="205" spans="1:31" s="69" customFormat="1" ht="19.95" customHeight="1" x14ac:dyDescent="0.65">
      <c r="A205" s="77" t="str">
        <f>_xlfn.XLOOKUP(B190,TimeTable[מס"ד],TimeTable[שולחן הרצת טורניר])</f>
        <v>5 כחול</v>
      </c>
      <c r="B205" s="30" t="str">
        <f>" טורניר ידידות - שולחן "&amp;A205&amp;" כניסה "&amp;IF(COUNTIF('תכנית לפי קבוצות'!$AA$3:$AA$6,A205)&gt;0,"א'","ב'")&amp;", עם קבוצה "&amp;_xlfn.XLOOKUP(B190,TeamList2[מס"ד],TeamList2[מס'' הקבוצה])</f>
        <v xml:space="preserve"> טורניר ידידות - שולחן 5 כחול כניסה ב', עם קבוצה 3003</v>
      </c>
      <c r="C205" s="204">
        <f>_xlfn.XLOOKUP(_xlfn.XLOOKUP(B190,TeamList[מס"ד],TeamList[מס'' הקבוצה]),Table135[קבוצה],Table135[שעה])</f>
        <v>0.67708333333333326</v>
      </c>
      <c r="D205" s="31">
        <f t="shared" ref="D205" si="69">C205+TIME(0,3,0)</f>
        <v>0.67916666666666659</v>
      </c>
      <c r="E205" s="75"/>
      <c r="F205" s="77" t="str">
        <f>_xlfn.XLOOKUP(G190,TimeTable[מס"ד],TimeTable[שולחן הרצת טורניר])</f>
        <v>6 כחול</v>
      </c>
      <c r="G205" s="30" t="str">
        <f>" טורניר ידידות - שולחן "&amp;F205&amp;" כניסה "&amp;IF(COUNTIF('תכנית לפי קבוצות'!$AA$3:$AA$6,F205)&gt;0,"א'","ב'")&amp;", עם קבוצה "&amp;_xlfn.XLOOKUP(G190,TeamList2[מס"ד],TeamList2[מס'' הקבוצה])</f>
        <v xml:space="preserve"> טורניר ידידות - שולחן 6 כחול כניסה ב', עם קבוצה 3192</v>
      </c>
      <c r="H205" s="204">
        <f>_xlfn.XLOOKUP(_xlfn.XLOOKUP(G190,TeamList[מס"ד],TeamList[מס'' הקבוצה]),Table135[קבוצה],Table135[שעה])</f>
        <v>0.68402777777777768</v>
      </c>
      <c r="I205" s="31">
        <f t="shared" ref="I205" si="70">H205+TIME(0,3,0)</f>
        <v>0.68611111111111101</v>
      </c>
      <c r="J205" s="75"/>
      <c r="K205" s="77" t="str">
        <f>_xlfn.XLOOKUP(L190,TimeTable[מס"ד],TimeTable[שולחן הרצת טורניר])</f>
        <v>8 אדום</v>
      </c>
      <c r="L205" s="30" t="str">
        <f>" טורניר ידידות - שולחן "&amp;K205&amp;" כניסה "&amp;IF(COUNTIF('תכנית לפי קבוצות'!$AA$3:$AA$6,K205)&gt;0,"א'","ב'")&amp;", עם קבוצה "&amp;_xlfn.XLOOKUP(L190,TeamList2[מס"ד],TeamList2[מס'' הקבוצה])</f>
        <v xml:space="preserve"> טורניר ידידות - שולחן 8 אדום כניסה ב', עם קבוצה 2648</v>
      </c>
      <c r="M205" s="204">
        <f>_xlfn.XLOOKUP(_xlfn.XLOOKUP(L190,TeamList[מס"ד],TeamList[מס'' הקבוצה]),Table135[קבוצה],Table135[שעה])</f>
        <v>0.67013888888888884</v>
      </c>
      <c r="N205" s="31">
        <f t="shared" ref="N205" si="71">M205+TIME(0,3,0)</f>
        <v>0.67222222222222217</v>
      </c>
      <c r="O205" s="75"/>
      <c r="P205"/>
      <c r="Q205"/>
      <c r="R205"/>
      <c r="S205"/>
      <c r="T205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</row>
    <row r="206" spans="1:31" s="69" customFormat="1" ht="19.95" customHeight="1" x14ac:dyDescent="0.65">
      <c r="A206" s="66"/>
      <c r="B206" s="139" t="str">
        <f>" "&amp;'תכנית לפי קבוצות'!$I$91</f>
        <v xml:space="preserve"> מסיבוטיקה</v>
      </c>
      <c r="C206" s="204">
        <f>מסיבוטיקה</f>
        <v>0.69444444444444453</v>
      </c>
      <c r="D206" s="31">
        <f>C207-TIME(0,5,0)</f>
        <v>0.70486111111111094</v>
      </c>
      <c r="E206" s="65"/>
      <c r="F206" s="66"/>
      <c r="G206" s="139" t="str">
        <f>" "&amp;'תכנית לפי קבוצות'!$I$91</f>
        <v xml:space="preserve"> מסיבוטיקה</v>
      </c>
      <c r="H206" s="204">
        <f>מסיבוטיקה</f>
        <v>0.69444444444444453</v>
      </c>
      <c r="I206" s="31">
        <f>H207-TIME(0,5,0)</f>
        <v>0.70486111111111094</v>
      </c>
      <c r="J206" s="65"/>
      <c r="K206" s="66"/>
      <c r="L206" s="139" t="str">
        <f>" "&amp;'תכנית לפי קבוצות'!$I$91</f>
        <v xml:space="preserve"> מסיבוטיקה</v>
      </c>
      <c r="M206" s="204">
        <f>מסיבוטיקה</f>
        <v>0.69444444444444453</v>
      </c>
      <c r="N206" s="31">
        <f>M207-TIME(0,5,0)</f>
        <v>0.70486111111111094</v>
      </c>
      <c r="O206" s="65"/>
      <c r="P206"/>
      <c r="Q206"/>
      <c r="R206"/>
      <c r="S206"/>
      <c r="T20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</row>
    <row r="207" spans="1:31" s="69" customFormat="1" ht="19.95" customHeight="1" thickBot="1" x14ac:dyDescent="0.8">
      <c r="A207" s="66"/>
      <c r="B207" s="70" t="s">
        <v>114</v>
      </c>
      <c r="C207" s="208">
        <f>סיום</f>
        <v>0.70833333333333315</v>
      </c>
      <c r="D207" s="209">
        <f>_xlfn.XLOOKUP(N,break_scheduler['# of teams],break_scheduler[END])</f>
        <v>0.73958333333333315</v>
      </c>
      <c r="E207" s="65"/>
      <c r="F207" s="66"/>
      <c r="G207" s="70" t="s">
        <v>114</v>
      </c>
      <c r="H207" s="208">
        <f>סיום</f>
        <v>0.70833333333333315</v>
      </c>
      <c r="I207" s="209">
        <f>_xlfn.XLOOKUP(N,break_scheduler['# of teams],break_scheduler[END])</f>
        <v>0.73958333333333315</v>
      </c>
      <c r="J207" s="65"/>
      <c r="K207" s="66"/>
      <c r="L207" s="70" t="s">
        <v>114</v>
      </c>
      <c r="M207" s="208">
        <f>סיום</f>
        <v>0.70833333333333315</v>
      </c>
      <c r="N207" s="209">
        <f>_xlfn.XLOOKUP(N,break_scheduler['# of teams],break_scheduler[END])</f>
        <v>0.73958333333333315</v>
      </c>
      <c r="O207" s="65"/>
      <c r="P207"/>
      <c r="Q207"/>
      <c r="R207"/>
      <c r="S207"/>
      <c r="T207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</row>
    <row r="208" spans="1:31" s="69" customFormat="1" ht="43.9" customHeight="1" x14ac:dyDescent="0.65">
      <c r="A208" s="210" t="s">
        <v>186</v>
      </c>
      <c r="B208" s="62"/>
      <c r="C208" s="62"/>
      <c r="D208" s="62"/>
      <c r="E208" s="62"/>
      <c r="F208" s="210" t="s">
        <v>186</v>
      </c>
      <c r="G208" s="62"/>
      <c r="H208" s="62"/>
      <c r="I208" s="62"/>
      <c r="J208" s="62"/>
      <c r="K208" s="210" t="s">
        <v>186</v>
      </c>
      <c r="L208" s="62"/>
      <c r="M208" s="62"/>
      <c r="N208" s="62"/>
      <c r="O208" s="62"/>
      <c r="P208"/>
      <c r="Q208"/>
      <c r="R208"/>
      <c r="S208"/>
      <c r="T208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</row>
    <row r="209" spans="1:31" s="69" customFormat="1" ht="19.95" customHeight="1" x14ac:dyDescent="0.65">
      <c r="A209" s="278" t="s">
        <v>187</v>
      </c>
      <c r="B209" s="278"/>
      <c r="C209" s="278"/>
      <c r="D209" s="278"/>
      <c r="E209" s="278"/>
      <c r="F209" s="278" t="s">
        <v>187</v>
      </c>
      <c r="G209" s="278"/>
      <c r="H209" s="278"/>
      <c r="I209" s="278"/>
      <c r="J209" s="278"/>
      <c r="K209" s="278" t="s">
        <v>187</v>
      </c>
      <c r="L209" s="278"/>
      <c r="M209" s="278"/>
      <c r="N209" s="278"/>
      <c r="O209" s="278"/>
      <c r="P209"/>
      <c r="Q209"/>
      <c r="R209"/>
      <c r="S209"/>
      <c r="T209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</row>
    <row r="210" spans="1:31" s="69" customFormat="1" ht="19.95" customHeight="1" x14ac:dyDescent="0.65">
      <c r="A210" s="279" t="s">
        <v>37</v>
      </c>
      <c r="B210" s="279"/>
      <c r="C210" s="279"/>
      <c r="D210" s="279"/>
      <c r="E210" s="279"/>
      <c r="F210" s="279" t="s">
        <v>37</v>
      </c>
      <c r="G210" s="279"/>
      <c r="H210" s="279"/>
      <c r="I210" s="279"/>
      <c r="J210" s="279"/>
      <c r="K210" s="279" t="s">
        <v>37</v>
      </c>
      <c r="L210" s="279"/>
      <c r="M210" s="279"/>
      <c r="N210" s="279"/>
      <c r="O210" s="279"/>
      <c r="P210"/>
      <c r="Q210"/>
      <c r="R210"/>
      <c r="S210"/>
      <c r="T210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</row>
    <row r="211" spans="1:31" ht="19.95" customHeight="1" x14ac:dyDescent="0.65">
      <c r="B211" s="67">
        <f>B190+1</f>
        <v>11</v>
      </c>
      <c r="G211" s="67">
        <f>G190+1</f>
        <v>25</v>
      </c>
      <c r="L211" s="67">
        <f>L190+1</f>
        <v>39</v>
      </c>
      <c r="P211"/>
      <c r="Q211"/>
      <c r="R211"/>
      <c r="S211"/>
      <c r="T211"/>
    </row>
    <row r="212" spans="1:31" ht="19.95" customHeight="1" x14ac:dyDescent="0.65">
      <c r="P212"/>
      <c r="Q212"/>
      <c r="R212"/>
      <c r="S212"/>
      <c r="T212"/>
    </row>
    <row r="213" spans="1:31" ht="19.95" customHeight="1" x14ac:dyDescent="0.65">
      <c r="P213"/>
      <c r="Q213"/>
      <c r="R213"/>
      <c r="S213"/>
      <c r="T213"/>
    </row>
    <row r="214" spans="1:31" ht="19.95" customHeight="1" x14ac:dyDescent="0.65">
      <c r="P214"/>
      <c r="Q214"/>
      <c r="R214"/>
      <c r="S214"/>
      <c r="T214"/>
    </row>
    <row r="215" spans="1:31" ht="19.95" customHeight="1" x14ac:dyDescent="0.65">
      <c r="P215"/>
      <c r="Q215"/>
      <c r="R215"/>
      <c r="S215"/>
      <c r="T215"/>
    </row>
    <row r="216" spans="1:31" ht="19.95" customHeight="1" thickBot="1" x14ac:dyDescent="0.8">
      <c r="P216"/>
      <c r="Q216"/>
      <c r="R216"/>
      <c r="S216"/>
      <c r="T216"/>
    </row>
    <row r="217" spans="1:31" ht="19.95" customHeight="1" thickBot="1" x14ac:dyDescent="0.8">
      <c r="A217" s="66"/>
      <c r="B217" s="275" t="str">
        <f>_xlfn.XLOOKUP(B211,TeamList[מס"ד],TeamList[מס'' הקבוצה])&amp;" "&amp;_xlfn.XLOOKUP(B211,TeamList[מס"ד],TeamList[שם הקבוצה])&amp;" "&amp;_xlfn.XLOOKUP(B211,TeamList[מס"ד],TeamList[ישוב])</f>
        <v>3139 ידלין ראשון לציון</v>
      </c>
      <c r="C217" s="276"/>
      <c r="D217" s="277"/>
      <c r="E217" s="64"/>
      <c r="F217" s="66"/>
      <c r="G217" s="275" t="str">
        <f>_xlfn.XLOOKUP(G211,TeamList[מס"ד],TeamList[מס'' הקבוצה])&amp;" "&amp;_xlfn.XLOOKUP(G211,TeamList[מס"ד],TeamList[שם הקבוצה])&amp;" "&amp;_xlfn.XLOOKUP(G211,TeamList[מס"ד],TeamList[ישוב])</f>
        <v>2840 נצח ישראל בית שמש</v>
      </c>
      <c r="H217" s="276"/>
      <c r="I217" s="277"/>
      <c r="J217" s="64"/>
      <c r="K217" s="66"/>
      <c r="L217" s="275" t="str">
        <f>_xlfn.XLOOKUP(L211,TeamList[מס"ד],TeamList[מס'' הקבוצה])&amp;" "&amp;_xlfn.XLOOKUP(L211,TeamList[מס"ד],TeamList[שם הקבוצה])&amp;" "&amp;_xlfn.XLOOKUP(L211,TeamList[מס"ד],TeamList[ישוב])</f>
        <v>3128 נרייה  בית הגדי</v>
      </c>
      <c r="M217" s="276"/>
      <c r="N217" s="277"/>
      <c r="O217" s="64"/>
      <c r="P217"/>
      <c r="Q217"/>
      <c r="R217"/>
      <c r="S217"/>
      <c r="T217"/>
    </row>
    <row r="218" spans="1:31" ht="19.95" customHeight="1" thickBot="1" x14ac:dyDescent="0.8">
      <c r="A218" s="66"/>
      <c r="B218" s="63" t="s">
        <v>35</v>
      </c>
      <c r="C218" s="206" t="s">
        <v>184</v>
      </c>
      <c r="D218" s="28" t="s">
        <v>185</v>
      </c>
      <c r="E218" s="64"/>
      <c r="F218" s="66"/>
      <c r="G218" s="63" t="s">
        <v>35</v>
      </c>
      <c r="H218" s="206" t="s">
        <v>184</v>
      </c>
      <c r="I218" s="28" t="s">
        <v>185</v>
      </c>
      <c r="J218" s="64"/>
      <c r="K218" s="66"/>
      <c r="L218" s="63" t="s">
        <v>35</v>
      </c>
      <c r="M218" s="206" t="s">
        <v>184</v>
      </c>
      <c r="N218" s="28" t="s">
        <v>185</v>
      </c>
      <c r="O218" s="64"/>
      <c r="P218"/>
      <c r="Q218"/>
      <c r="R218"/>
      <c r="S218"/>
      <c r="T218"/>
    </row>
    <row r="219" spans="1:31" ht="19.95" customHeight="1" x14ac:dyDescent="0.65">
      <c r="A219" s="66"/>
      <c r="B219" s="207" t="s">
        <v>113</v>
      </c>
      <c r="C219" s="205">
        <f>Opening</f>
        <v>0.41666666666666669</v>
      </c>
      <c r="D219" s="29">
        <f>C219+TIME(0,25,0)</f>
        <v>0.43402777777777779</v>
      </c>
      <c r="E219" s="74"/>
      <c r="F219" s="66"/>
      <c r="G219" s="207" t="s">
        <v>113</v>
      </c>
      <c r="H219" s="205">
        <f>Opening</f>
        <v>0.41666666666666669</v>
      </c>
      <c r="I219" s="29">
        <f>H219+TIME(0,25,0)</f>
        <v>0.43402777777777779</v>
      </c>
      <c r="J219" s="74"/>
      <c r="K219" s="66"/>
      <c r="L219" s="207" t="s">
        <v>113</v>
      </c>
      <c r="M219" s="205">
        <f>Opening</f>
        <v>0.41666666666666669</v>
      </c>
      <c r="N219" s="29">
        <f>M219+TIME(0,25,0)</f>
        <v>0.43402777777777779</v>
      </c>
      <c r="O219" s="74"/>
      <c r="P219"/>
      <c r="Q219"/>
      <c r="R219"/>
      <c r="S219"/>
      <c r="T219"/>
    </row>
    <row r="220" spans="1:31" ht="19.95" customHeight="1" x14ac:dyDescent="0.65">
      <c r="A220" s="66"/>
      <c r="B220" s="30" t="str">
        <f>CONCATENATE(" חדר שיפוט ",_xlfn.XLOOKUP(B211,TeamList[מס"ד],TeamList[חדר שיפוט]))</f>
        <v xml:space="preserve"> חדר שיפוט 4 אדום</v>
      </c>
      <c r="C220" s="204">
        <f>_xlfn.XLOOKUP(B211,TimeTable[מס"ד],TimeTable[שעת שיפוט])</f>
        <v>0.39583333333333331</v>
      </c>
      <c r="D220" s="31">
        <f>C220+JS</f>
        <v>0.4145833333333333</v>
      </c>
      <c r="E220" s="75"/>
      <c r="F220" s="66"/>
      <c r="G220" s="30" t="str">
        <f>CONCATENATE(" חדר שיפוט ",_xlfn.XLOOKUP(G211,TeamList[מס"ד],TeamList[חדר שיפוט]))</f>
        <v xml:space="preserve"> חדר שיפוט 4 אדום</v>
      </c>
      <c r="H220" s="204">
        <f>_xlfn.XLOOKUP(G211,TimeTable[מס"ד],TimeTable[שעת שיפוט])</f>
        <v>0.46875</v>
      </c>
      <c r="I220" s="31">
        <f>H220+JS</f>
        <v>0.48749999999999999</v>
      </c>
      <c r="J220" s="75"/>
      <c r="K220" s="66"/>
      <c r="L220" s="30" t="str">
        <f>CONCATENATE(" חדר שיפוט ",_xlfn.XLOOKUP(L211,TeamList[מס"ד],TeamList[חדר שיפוט]))</f>
        <v xml:space="preserve"> חדר שיפוט 4 אדום</v>
      </c>
      <c r="M220" s="204">
        <f>_xlfn.XLOOKUP(L211,TimeTable[מס"ד],TimeTable[שעת שיפוט])</f>
        <v>0.56249999999999989</v>
      </c>
      <c r="N220" s="31">
        <f>M220+JS</f>
        <v>0.58124999999999993</v>
      </c>
      <c r="O220" s="75"/>
      <c r="P220"/>
      <c r="Q220"/>
      <c r="R220"/>
      <c r="S220"/>
      <c r="T220"/>
    </row>
    <row r="221" spans="1:31" ht="19.95" customHeight="1" x14ac:dyDescent="0.65">
      <c r="A221" s="77" t="str">
        <f>_xlfn.XLOOKUP(B211,TimeTable[מס"ד],TimeTable[שולחן הרצת אימון])</f>
        <v>5 אדום</v>
      </c>
      <c r="B221" s="30" t="str">
        <f>" מקצה אימונים - שולחן "&amp;A221&amp;" כניסה "&amp;IF(COUNTIF('תכנית לפי קבוצות'!$AA$3:$AA$6,A221)&gt;0,"א'","ב'")</f>
        <v xml:space="preserve"> מקצה אימונים - שולחן 5 אדום כניסה ב'</v>
      </c>
      <c r="C221" s="204">
        <f>_xlfn.XLOOKUP(B211,TimeTable[מס"ד],TimeTable[שעת הרצת אימון])</f>
        <v>0.37708333333333327</v>
      </c>
      <c r="D221" s="31">
        <f>C221+TIME(0,3,0)</f>
        <v>0.3791666666666666</v>
      </c>
      <c r="E221" s="76"/>
      <c r="F221" s="77" t="str">
        <f>_xlfn.XLOOKUP(G211,TimeTable[מס"ד],TimeTable[שולחן הרצת אימון])</f>
        <v>1 אדום</v>
      </c>
      <c r="G221" s="30" t="str">
        <f>" מקצה אימונים - שולחן "&amp;F221&amp;" כניסה "&amp;IF(COUNTIF('תכנית לפי קבוצות'!$AA$3:$AA$6,F221)&gt;0,"א'","ב'")</f>
        <v xml:space="preserve"> מקצה אימונים - שולחן 1 אדום כניסה א'</v>
      </c>
      <c r="H221" s="204">
        <f>_xlfn.XLOOKUP(G211,TimeTable[מס"ד],TimeTable[שעת הרצת אימון])</f>
        <v>0.38124999999999992</v>
      </c>
      <c r="I221" s="31">
        <f>H221+TIME(0,3,0)</f>
        <v>0.38333333333333325</v>
      </c>
      <c r="J221" s="76"/>
      <c r="K221" s="77" t="str">
        <f>_xlfn.XLOOKUP(L211,TimeTable[מס"ד],TimeTable[שולחן הרצת אימון])</f>
        <v>4 אדום</v>
      </c>
      <c r="L221" s="30" t="str">
        <f>" מקצה אימונים - שולחן "&amp;K221&amp;" כניסה "&amp;IF(COUNTIF('תכנית לפי קבוצות'!$AA$3:$AA$6,K221)&gt;0,"א'","ב'")</f>
        <v xml:space="preserve"> מקצה אימונים - שולחן 4 אדום כניסה א'</v>
      </c>
      <c r="M221" s="204">
        <f>_xlfn.XLOOKUP(L211,TimeTable[מס"ד],TimeTable[שעת הרצת אימון])</f>
        <v>0.38958333333333328</v>
      </c>
      <c r="N221" s="31">
        <f>M221+TIME(0,3,0)</f>
        <v>0.39166666666666661</v>
      </c>
      <c r="O221" s="76"/>
      <c r="P221"/>
      <c r="Q221"/>
      <c r="R221"/>
      <c r="S221"/>
      <c r="T221"/>
    </row>
    <row r="222" spans="1:31" ht="19.95" customHeight="1" x14ac:dyDescent="0.65">
      <c r="A222" s="66" t="str">
        <f>_xlfn.XLOOKUP(B211,TimeTable[מס"ד],TimeTable[שולחן הרצה 1])</f>
        <v>5 אדום</v>
      </c>
      <c r="B222" s="30" t="str">
        <f>" מקצה 1 - שולחן "&amp;A222&amp;" כניסה "&amp;IF(COUNTIF('תכנית לפי קבוצות'!$AA$3:$AA$6,A222)&gt;0,"א'","ב'")</f>
        <v xml:space="preserve"> מקצה 1 - שולחן 5 אדום כניסה ב'</v>
      </c>
      <c r="C222" s="204">
        <f>_xlfn.XLOOKUP(B211,TimeTable[מס"ד],TimeTable[שעת הרצה 1])</f>
        <v>0.45833333333333298</v>
      </c>
      <c r="D222" s="31">
        <f t="shared" ref="D222:D224" si="72">C222+TIME(0,3,0)</f>
        <v>0.46041666666666631</v>
      </c>
      <c r="E222" s="76"/>
      <c r="F222" s="66" t="str">
        <f>_xlfn.XLOOKUP(G211,TimeTable[מס"ד],TimeTable[שולחן הרצה 1])</f>
        <v>4 אדום</v>
      </c>
      <c r="G222" s="30" t="str">
        <f>" מקצה 1 - שולחן "&amp;F222&amp;" כניסה "&amp;IF(COUNTIF('תכנית לפי קבוצות'!$AA$3:$AA$6,F222)&gt;0,"א'","ב'")</f>
        <v xml:space="preserve"> מקצה 1 - שולחן 4 אדום כניסה א'</v>
      </c>
      <c r="H222" s="204">
        <f>_xlfn.XLOOKUP(G211,TimeTable[מס"ד],TimeTable[שעת הרצה 1])</f>
        <v>0.44097222222222193</v>
      </c>
      <c r="I222" s="31">
        <f t="shared" ref="I222:I224" si="73">H222+TIME(0,3,0)</f>
        <v>0.44305555555555526</v>
      </c>
      <c r="J222" s="76"/>
      <c r="K222" s="66" t="str">
        <f>_xlfn.XLOOKUP(L211,TimeTable[מס"ד],TimeTable[שולחן הרצה 1])</f>
        <v>2 אדום</v>
      </c>
      <c r="L222" s="30" t="str">
        <f>" מקצה 1 - שולחן "&amp;K222&amp;" כניסה "&amp;IF(COUNTIF('תכנית לפי קבוצות'!$AA$3:$AA$6,K222)&gt;0,"א'","ב'")</f>
        <v xml:space="preserve"> מקצה 1 - שולחן 2 אדום כניסה א'</v>
      </c>
      <c r="M222" s="204">
        <f>_xlfn.XLOOKUP(L211,TimeTable[מס"ד],TimeTable[שעת הרצה 1])</f>
        <v>0.46180555555555519</v>
      </c>
      <c r="N222" s="31">
        <f t="shared" ref="N222:N224" si="74">M222+TIME(0,3,0)</f>
        <v>0.46388888888888852</v>
      </c>
      <c r="O222" s="76"/>
      <c r="P222"/>
      <c r="Q222"/>
      <c r="R222"/>
      <c r="S222"/>
      <c r="T222"/>
    </row>
    <row r="223" spans="1:31" ht="19.95" customHeight="1" x14ac:dyDescent="0.65">
      <c r="A223" s="66" t="str">
        <f>_xlfn.XLOOKUP(B211,TimeTable[מס"ד],TimeTable[שולחן הרצה 2])</f>
        <v>5 אדום</v>
      </c>
      <c r="B223" s="30" t="str">
        <f>" מקצה 2 - שולחן "&amp;A223&amp;" כניסה "&amp;IF(COUNTIF('תכנית לפי קבוצות'!$AA$3:$AA$6,A223)&gt;0,"א'","ב'")</f>
        <v xml:space="preserve"> מקצה 2 - שולחן 5 אדום כניסה ב'</v>
      </c>
      <c r="C223" s="204">
        <f>_xlfn.XLOOKUP(B211,TimeTable[מס"ד],TimeTable[שעת הרצה 2])</f>
        <v>0.51736111111111061</v>
      </c>
      <c r="D223" s="31">
        <f t="shared" si="72"/>
        <v>0.51944444444444393</v>
      </c>
      <c r="E223" s="76"/>
      <c r="F223" s="66" t="str">
        <f>_xlfn.XLOOKUP(G211,TimeTable[מס"ד],TimeTable[שולחן הרצה 2])</f>
        <v>8 אדום</v>
      </c>
      <c r="G223" s="30" t="str">
        <f>" מקצה 2 - שולחן "&amp;F223&amp;" כניסה "&amp;IF(COUNTIF('תכנית לפי קבוצות'!$AA$3:$AA$6,F223)&gt;0,"א'","ב'")</f>
        <v xml:space="preserve"> מקצה 2 - שולחן 8 אדום כניסה ב'</v>
      </c>
      <c r="H223" s="204">
        <f>_xlfn.XLOOKUP(G211,TimeTable[מס"ד],TimeTable[שעת הרצה 2])</f>
        <v>0.54513888888888828</v>
      </c>
      <c r="I223" s="31">
        <f t="shared" si="73"/>
        <v>0.54722222222222161</v>
      </c>
      <c r="J223" s="76"/>
      <c r="K223" s="66" t="str">
        <f>_xlfn.XLOOKUP(L211,TimeTable[מס"ד],TimeTable[שולחן הרצה 2])</f>
        <v>3 אדום</v>
      </c>
      <c r="L223" s="30" t="str">
        <f>" מקצה 2 - שולחן "&amp;K223&amp;" כניסה "&amp;IF(COUNTIF('תכנית לפי קבוצות'!$AA$3:$AA$6,K223)&gt;0,"א'","ב'")</f>
        <v xml:space="preserve"> מקצה 2 - שולחן 3 אדום כניסה א'</v>
      </c>
      <c r="M223" s="204">
        <f>_xlfn.XLOOKUP(L211,TimeTable[מס"ד],TimeTable[שעת הרצה 2])</f>
        <v>0.53472222222222165</v>
      </c>
      <c r="N223" s="31">
        <f t="shared" si="74"/>
        <v>0.53680555555555498</v>
      </c>
      <c r="O223" s="76"/>
      <c r="P223"/>
      <c r="Q223"/>
      <c r="R223"/>
      <c r="S223"/>
      <c r="T223"/>
    </row>
    <row r="224" spans="1:31" ht="19.95" customHeight="1" x14ac:dyDescent="0.65">
      <c r="A224" s="66" t="str">
        <f>_xlfn.XLOOKUP(B211,TimeTable[מס"ד],TimeTable[שולחן הרצה 3])</f>
        <v>4 אדום</v>
      </c>
      <c r="B224" s="30" t="str">
        <f>" מקצה 3 - שולחן "&amp;A224&amp;" כניסה "&amp;IF(COUNTIF('תכנית לפי קבוצות'!$AA$3:$AA$6,A224)&gt;0,"א'","ב'")</f>
        <v xml:space="preserve"> מקצה 3 - שולחן 4 אדום כניסה א'</v>
      </c>
      <c r="C224" s="204">
        <f>_xlfn.XLOOKUP(B211,TimeTable[מס"ד],TimeTable[שעת הרצה 3])</f>
        <v>0.59722222222222143</v>
      </c>
      <c r="D224" s="31">
        <f t="shared" si="72"/>
        <v>0.59930555555555476</v>
      </c>
      <c r="E224" s="76"/>
      <c r="F224" s="66" t="str">
        <f>_xlfn.XLOOKUP(G211,TimeTable[מס"ד],TimeTable[שולחן הרצה 3])</f>
        <v>2 אדום</v>
      </c>
      <c r="G224" s="30" t="str">
        <f>" מקצה 3 - שולחן "&amp;F224&amp;" כניסה "&amp;IF(COUNTIF('תכנית לפי קבוצות'!$AA$3:$AA$6,F224)&gt;0,"א'","ב'")</f>
        <v xml:space="preserve"> מקצה 3 - שולחן 2 אדום כניסה א'</v>
      </c>
      <c r="H224" s="204">
        <f>_xlfn.XLOOKUP(G211,TimeTable[מס"ד],TimeTable[שעת הרצה 3])</f>
        <v>0.61111111111111027</v>
      </c>
      <c r="I224" s="31">
        <f t="shared" si="73"/>
        <v>0.6131944444444436</v>
      </c>
      <c r="J224" s="76"/>
      <c r="K224" s="66" t="str">
        <f>_xlfn.XLOOKUP(L211,TimeTable[מס"ד],TimeTable[שולחן הרצה 3])</f>
        <v>8 אדום</v>
      </c>
      <c r="L224" s="30" t="str">
        <f>" מקצה 3 - שולחן "&amp;K224&amp;" כניסה "&amp;IF(COUNTIF('תכנית לפי קבוצות'!$AA$3:$AA$6,K224)&gt;0,"א'","ב'")</f>
        <v xml:space="preserve"> מקצה 3 - שולחן 8 אדום כניסה ב'</v>
      </c>
      <c r="M224" s="204">
        <f>_xlfn.XLOOKUP(L211,TimeTable[מס"ד],TimeTable[שעת הרצה 3])</f>
        <v>0.6215277777777769</v>
      </c>
      <c r="N224" s="31">
        <f t="shared" si="74"/>
        <v>0.62361111111111023</v>
      </c>
      <c r="O224" s="76"/>
      <c r="P224"/>
      <c r="Q224"/>
      <c r="R224"/>
      <c r="S224"/>
      <c r="T224"/>
    </row>
    <row r="225" spans="1:31" s="69" customFormat="1" ht="19.95" customHeight="1" x14ac:dyDescent="0.65">
      <c r="A225" s="203">
        <f>pits+TIME(2,0,0)</f>
        <v>8.3333333333333329E-2</v>
      </c>
      <c r="B225" s="30" t="s">
        <v>192</v>
      </c>
      <c r="C225" s="204"/>
      <c r="D225" s="31"/>
      <c r="E225" s="75"/>
      <c r="F225" s="203">
        <f>pits+TIME(2,0,0)</f>
        <v>8.3333333333333329E-2</v>
      </c>
      <c r="G225" s="30" t="s">
        <v>192</v>
      </c>
      <c r="H225" s="204"/>
      <c r="I225" s="31"/>
      <c r="J225" s="75"/>
      <c r="K225" s="203">
        <f>pits+TIME(2,0,0)</f>
        <v>8.3333333333333329E-2</v>
      </c>
      <c r="L225" s="30" t="s">
        <v>192</v>
      </c>
      <c r="M225" s="204"/>
      <c r="N225" s="31"/>
      <c r="O225" s="75"/>
      <c r="P225"/>
      <c r="Q225"/>
      <c r="R225"/>
      <c r="S225"/>
      <c r="T225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</row>
    <row r="226" spans="1:31" s="69" customFormat="1" ht="19.95" customHeight="1" x14ac:dyDescent="0.65">
      <c r="A226" s="77" t="str">
        <f>_xlfn.XLOOKUP(B211,TimeTable[מס"ד],TimeTable[שולחן הרצת טורניר])</f>
        <v>1 כחול</v>
      </c>
      <c r="B226" s="30" t="str">
        <f>" טורניר ידידות - שולחן "&amp;A226&amp;" כניסה "&amp;IF(COUNTIF('תכנית לפי קבוצות'!$AA$3:$AA$6,A226)&gt;0,"א'","ב'")&amp;", עם קבוצה "&amp;_xlfn.XLOOKUP(B211,TeamList2[מס"ד],TeamList2[מס'' הקבוצה])</f>
        <v xml:space="preserve"> טורניר ידידות - שולחן 1 כחול כניסה ב', עם קבוצה 1350</v>
      </c>
      <c r="C226" s="204">
        <f>_xlfn.XLOOKUP(_xlfn.XLOOKUP(B211,TeamList[מס"ד],TeamList[מס'' הקבוצה]),Table135[קבוצה],Table135[שעה])</f>
        <v>0.68055555555555547</v>
      </c>
      <c r="D226" s="31">
        <f t="shared" ref="D226" si="75">C226+TIME(0,3,0)</f>
        <v>0.6826388888888888</v>
      </c>
      <c r="E226" s="75"/>
      <c r="F226" s="77" t="str">
        <f>_xlfn.XLOOKUP(G211,TimeTable[מס"ד],TimeTable[שולחן הרצת טורניר])</f>
        <v>3 אדום</v>
      </c>
      <c r="G226" s="30" t="str">
        <f>" טורניר ידידות - שולחן "&amp;F226&amp;" כניסה "&amp;IF(COUNTIF('תכנית לפי קבוצות'!$AA$3:$AA$6,F226)&gt;0,"א'","ב'")&amp;", עם קבוצה "&amp;_xlfn.XLOOKUP(G211,TeamList2[מס"ד],TeamList2[מס'' הקבוצה])</f>
        <v xml:space="preserve"> טורניר ידידות - שולחן 3 אדום כניסה א', עם קבוצה 3251</v>
      </c>
      <c r="H226" s="204">
        <f>_xlfn.XLOOKUP(_xlfn.XLOOKUP(G211,TeamList[מס"ד],TeamList[מס'' הקבוצה]),Table135[קבוצה],Table135[שעה])</f>
        <v>0.66666666666666663</v>
      </c>
      <c r="I226" s="31">
        <f t="shared" ref="I226" si="76">H226+TIME(0,3,0)</f>
        <v>0.66874999999999996</v>
      </c>
      <c r="J226" s="75"/>
      <c r="K226" s="77" t="str">
        <f>_xlfn.XLOOKUP(L211,TimeTable[מס"ד],TimeTable[שולחן הרצת טורניר])</f>
        <v>4 אדום</v>
      </c>
      <c r="L226" s="30" t="str">
        <f>" טורניר ידידות - שולחן "&amp;K226&amp;" כניסה "&amp;IF(COUNTIF('תכנית לפי קבוצות'!$AA$3:$AA$6,K226)&gt;0,"א'","ב'")&amp;", עם קבוצה "&amp;_xlfn.XLOOKUP(L211,TeamList2[מס"ד],TeamList2[מס'' הקבוצה])</f>
        <v xml:space="preserve"> טורניר ידידות - שולחן 4 אדום כניסה א', עם קבוצה 1714</v>
      </c>
      <c r="M226" s="204">
        <f>_xlfn.XLOOKUP(_xlfn.XLOOKUP(L211,TeamList[מס"ד],TeamList[מס'' הקבוצה]),Table135[קבוצה],Table135[שעה])</f>
        <v>0.67361111111111105</v>
      </c>
      <c r="N226" s="31">
        <f t="shared" ref="N226" si="77">M226+TIME(0,3,0)</f>
        <v>0.67569444444444438</v>
      </c>
      <c r="O226" s="75"/>
      <c r="P226"/>
      <c r="Q226"/>
      <c r="R226"/>
      <c r="S226"/>
      <c r="T2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</row>
    <row r="227" spans="1:31" s="69" customFormat="1" ht="19.95" customHeight="1" x14ac:dyDescent="0.65">
      <c r="A227" s="66"/>
      <c r="B227" s="139" t="str">
        <f>" "&amp;'תכנית לפי קבוצות'!$I$91</f>
        <v xml:space="preserve"> מסיבוטיקה</v>
      </c>
      <c r="C227" s="204">
        <f>מסיבוטיקה</f>
        <v>0.69444444444444453</v>
      </c>
      <c r="D227" s="31">
        <f>C228-TIME(0,5,0)</f>
        <v>0.70486111111111094</v>
      </c>
      <c r="E227" s="65"/>
      <c r="F227" s="66"/>
      <c r="G227" s="139" t="str">
        <f>" "&amp;'תכנית לפי קבוצות'!$I$91</f>
        <v xml:space="preserve"> מסיבוטיקה</v>
      </c>
      <c r="H227" s="204">
        <f>מסיבוטיקה</f>
        <v>0.69444444444444453</v>
      </c>
      <c r="I227" s="31">
        <f>H228-TIME(0,5,0)</f>
        <v>0.70486111111111094</v>
      </c>
      <c r="J227" s="65"/>
      <c r="K227" s="66"/>
      <c r="L227" s="139" t="str">
        <f>" "&amp;'תכנית לפי קבוצות'!$I$91</f>
        <v xml:space="preserve"> מסיבוטיקה</v>
      </c>
      <c r="M227" s="204">
        <f>מסיבוטיקה</f>
        <v>0.69444444444444453</v>
      </c>
      <c r="N227" s="31">
        <f>M228-TIME(0,5,0)</f>
        <v>0.70486111111111094</v>
      </c>
      <c r="O227" s="65"/>
      <c r="P227"/>
      <c r="Q227"/>
      <c r="R227"/>
      <c r="S227"/>
      <c r="T227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</row>
    <row r="228" spans="1:31" s="69" customFormat="1" ht="19.95" customHeight="1" thickBot="1" x14ac:dyDescent="0.8">
      <c r="A228" s="66"/>
      <c r="B228" s="70" t="s">
        <v>114</v>
      </c>
      <c r="C228" s="208">
        <f>סיום</f>
        <v>0.70833333333333315</v>
      </c>
      <c r="D228" s="209">
        <f>_xlfn.XLOOKUP(N,break_scheduler['# of teams],break_scheduler[END])</f>
        <v>0.73958333333333315</v>
      </c>
      <c r="E228" s="65"/>
      <c r="F228" s="66"/>
      <c r="G228" s="70" t="s">
        <v>114</v>
      </c>
      <c r="H228" s="208">
        <f>סיום</f>
        <v>0.70833333333333315</v>
      </c>
      <c r="I228" s="209">
        <f>_xlfn.XLOOKUP(N,break_scheduler['# of teams],break_scheduler[END])</f>
        <v>0.73958333333333315</v>
      </c>
      <c r="J228" s="65"/>
      <c r="K228" s="66"/>
      <c r="L228" s="70" t="s">
        <v>114</v>
      </c>
      <c r="M228" s="208">
        <f>סיום</f>
        <v>0.70833333333333315</v>
      </c>
      <c r="N228" s="209">
        <f>_xlfn.XLOOKUP(N,break_scheduler['# of teams],break_scheduler[END])</f>
        <v>0.73958333333333315</v>
      </c>
      <c r="O228" s="65"/>
      <c r="P228"/>
      <c r="Q228"/>
      <c r="R228"/>
      <c r="S228"/>
      <c r="T228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</row>
    <row r="229" spans="1:31" s="69" customFormat="1" ht="43.9" customHeight="1" x14ac:dyDescent="0.65">
      <c r="A229" s="210" t="s">
        <v>186</v>
      </c>
      <c r="B229" s="62"/>
      <c r="C229" s="62"/>
      <c r="D229" s="62"/>
      <c r="E229" s="62"/>
      <c r="F229" s="210" t="s">
        <v>186</v>
      </c>
      <c r="G229" s="62"/>
      <c r="H229" s="62"/>
      <c r="I229" s="62"/>
      <c r="J229" s="62"/>
      <c r="K229" s="210" t="s">
        <v>186</v>
      </c>
      <c r="L229" s="62"/>
      <c r="M229" s="62"/>
      <c r="N229" s="62"/>
      <c r="O229" s="62"/>
      <c r="P229"/>
      <c r="Q229"/>
      <c r="R229"/>
      <c r="S229"/>
      <c r="T229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</row>
    <row r="230" spans="1:31" s="69" customFormat="1" ht="19.95" customHeight="1" x14ac:dyDescent="0.65">
      <c r="A230" s="278" t="s">
        <v>187</v>
      </c>
      <c r="B230" s="278"/>
      <c r="C230" s="278"/>
      <c r="D230" s="278"/>
      <c r="E230" s="278"/>
      <c r="F230" s="278" t="s">
        <v>187</v>
      </c>
      <c r="G230" s="278"/>
      <c r="H230" s="278"/>
      <c r="I230" s="278"/>
      <c r="J230" s="278"/>
      <c r="K230" s="278" t="s">
        <v>187</v>
      </c>
      <c r="L230" s="278"/>
      <c r="M230" s="278"/>
      <c r="N230" s="278"/>
      <c r="O230" s="278"/>
      <c r="P230"/>
      <c r="Q230"/>
      <c r="R230"/>
      <c r="S230"/>
      <c r="T230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</row>
    <row r="231" spans="1:31" s="69" customFormat="1" ht="19.95" customHeight="1" x14ac:dyDescent="0.65">
      <c r="A231" s="279" t="s">
        <v>37</v>
      </c>
      <c r="B231" s="279"/>
      <c r="C231" s="279"/>
      <c r="D231" s="279"/>
      <c r="E231" s="279"/>
      <c r="F231" s="279" t="s">
        <v>37</v>
      </c>
      <c r="G231" s="279"/>
      <c r="H231" s="279"/>
      <c r="I231" s="279"/>
      <c r="J231" s="279"/>
      <c r="K231" s="279" t="s">
        <v>37</v>
      </c>
      <c r="L231" s="279"/>
      <c r="M231" s="279"/>
      <c r="N231" s="279"/>
      <c r="O231" s="279"/>
      <c r="P231"/>
      <c r="Q231"/>
      <c r="R231"/>
      <c r="S231"/>
      <c r="T231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</row>
    <row r="232" spans="1:31" ht="19.95" customHeight="1" x14ac:dyDescent="0.65">
      <c r="B232" s="67">
        <f>B211+1</f>
        <v>12</v>
      </c>
      <c r="G232" s="67">
        <f>G211+1</f>
        <v>26</v>
      </c>
      <c r="L232" s="67">
        <f>L211+1</f>
        <v>40</v>
      </c>
      <c r="P232"/>
      <c r="Q232"/>
      <c r="R232"/>
      <c r="S232"/>
      <c r="T232"/>
    </row>
    <row r="233" spans="1:31" ht="19.95" customHeight="1" x14ac:dyDescent="0.65">
      <c r="P233"/>
      <c r="Q233"/>
      <c r="R233"/>
      <c r="S233"/>
      <c r="T233"/>
    </row>
    <row r="234" spans="1:31" ht="19.95" customHeight="1" x14ac:dyDescent="0.65">
      <c r="P234"/>
      <c r="Q234"/>
      <c r="R234"/>
      <c r="S234"/>
      <c r="T234"/>
    </row>
    <row r="235" spans="1:31" ht="19.95" customHeight="1" x14ac:dyDescent="0.65">
      <c r="P235"/>
      <c r="Q235"/>
      <c r="R235"/>
      <c r="S235"/>
      <c r="T235"/>
    </row>
    <row r="236" spans="1:31" ht="19.95" customHeight="1" x14ac:dyDescent="0.65">
      <c r="P236"/>
      <c r="Q236"/>
      <c r="R236"/>
      <c r="S236"/>
      <c r="T236"/>
    </row>
    <row r="237" spans="1:31" ht="19.95" customHeight="1" thickBot="1" x14ac:dyDescent="0.8">
      <c r="P237"/>
      <c r="Q237"/>
      <c r="R237"/>
      <c r="S237"/>
      <c r="T237"/>
    </row>
    <row r="238" spans="1:31" ht="19.95" customHeight="1" thickBot="1" x14ac:dyDescent="0.8">
      <c r="A238" s="66"/>
      <c r="B238" s="275" t="str">
        <f>_xlfn.XLOOKUP(B232,TeamList[מס"ד],TeamList[מס'' הקבוצה])&amp;" "&amp;_xlfn.XLOOKUP(B232,TeamList[מס"ד],TeamList[שם הקבוצה])&amp;" "&amp;_xlfn.XLOOKUP(B232,TeamList[מס"ד],TeamList[ישוב])</f>
        <v>515 אשכול פיס  נס ציונה</v>
      </c>
      <c r="C238" s="276"/>
      <c r="D238" s="277"/>
      <c r="E238" s="64"/>
      <c r="F238" s="66"/>
      <c r="G238" s="275" t="str">
        <f>_xlfn.XLOOKUP(G232,TeamList[מס"ד],TeamList[מס'' הקבוצה])&amp;" "&amp;_xlfn.XLOOKUP(G232,TeamList[מס"ד],TeamList[שם הקבוצה])&amp;" "&amp;_xlfn.XLOOKUP(G232,TeamList[מס"ד],TeamList[ישוב])</f>
        <v>52 הנדסאים  הרצליה</v>
      </c>
      <c r="H238" s="276"/>
      <c r="I238" s="277"/>
      <c r="J238" s="64"/>
      <c r="K238" s="66"/>
      <c r="L238" s="275" t="str">
        <f>_xlfn.XLOOKUP(L232,TeamList[מס"ד],TeamList[מס'' הקבוצה])&amp;" "&amp;_xlfn.XLOOKUP(L232,TeamList[מס"ד],TeamList[שם הקבוצה])&amp;" "&amp;_xlfn.XLOOKUP(L232,TeamList[מס"ד],TeamList[ישוב])</f>
        <v>1099 אפרתה ירושלים</v>
      </c>
      <c r="M238" s="276"/>
      <c r="N238" s="277"/>
      <c r="O238" s="64"/>
      <c r="P238"/>
      <c r="Q238"/>
      <c r="R238"/>
      <c r="S238"/>
      <c r="T238"/>
    </row>
    <row r="239" spans="1:31" ht="19.95" customHeight="1" thickBot="1" x14ac:dyDescent="0.8">
      <c r="A239" s="66"/>
      <c r="B239" s="63" t="s">
        <v>35</v>
      </c>
      <c r="C239" s="206" t="s">
        <v>184</v>
      </c>
      <c r="D239" s="28" t="s">
        <v>185</v>
      </c>
      <c r="E239" s="64"/>
      <c r="F239" s="66"/>
      <c r="G239" s="63" t="s">
        <v>35</v>
      </c>
      <c r="H239" s="206" t="s">
        <v>184</v>
      </c>
      <c r="I239" s="28" t="s">
        <v>185</v>
      </c>
      <c r="J239" s="64"/>
      <c r="K239" s="66"/>
      <c r="L239" s="63" t="s">
        <v>35</v>
      </c>
      <c r="M239" s="206" t="s">
        <v>184</v>
      </c>
      <c r="N239" s="28" t="s">
        <v>185</v>
      </c>
      <c r="O239" s="64"/>
      <c r="P239"/>
      <c r="Q239"/>
      <c r="R239"/>
      <c r="S239"/>
      <c r="T239"/>
    </row>
    <row r="240" spans="1:31" ht="19.95" customHeight="1" x14ac:dyDescent="0.65">
      <c r="A240" s="66"/>
      <c r="B240" s="207" t="s">
        <v>113</v>
      </c>
      <c r="C240" s="205">
        <f>Opening</f>
        <v>0.41666666666666669</v>
      </c>
      <c r="D240" s="29">
        <f>C240+TIME(0,25,0)</f>
        <v>0.43402777777777779</v>
      </c>
      <c r="E240" s="74"/>
      <c r="F240" s="66"/>
      <c r="G240" s="207" t="s">
        <v>113</v>
      </c>
      <c r="H240" s="205">
        <f>Opening</f>
        <v>0.41666666666666669</v>
      </c>
      <c r="I240" s="29">
        <f>H240+TIME(0,25,0)</f>
        <v>0.43402777777777779</v>
      </c>
      <c r="J240" s="74"/>
      <c r="K240" s="66"/>
      <c r="L240" s="207" t="s">
        <v>113</v>
      </c>
      <c r="M240" s="205">
        <f>Opening</f>
        <v>0.41666666666666669</v>
      </c>
      <c r="N240" s="29">
        <f>M240+TIME(0,25,0)</f>
        <v>0.43402777777777779</v>
      </c>
      <c r="O240" s="74"/>
      <c r="P240"/>
      <c r="Q240"/>
      <c r="R240"/>
      <c r="S240"/>
      <c r="T240"/>
    </row>
    <row r="241" spans="1:31" ht="19.95" customHeight="1" x14ac:dyDescent="0.65">
      <c r="A241" s="66"/>
      <c r="B241" s="30" t="str">
        <f>CONCATENATE(" חדר שיפוט ",_xlfn.XLOOKUP(B232,TeamList[מס"ד],TeamList[חדר שיפוט]))</f>
        <v xml:space="preserve"> חדר שיפוט 5 אדום</v>
      </c>
      <c r="C241" s="204">
        <f>_xlfn.XLOOKUP(B232,TimeTable[מס"ד],TimeTable[שעת שיפוט])</f>
        <v>0.39583333333333331</v>
      </c>
      <c r="D241" s="31">
        <f>C241+JS</f>
        <v>0.4145833333333333</v>
      </c>
      <c r="E241" s="75"/>
      <c r="F241" s="66"/>
      <c r="G241" s="30" t="str">
        <f>CONCATENATE(" חדר שיפוט ",_xlfn.XLOOKUP(G232,TeamList[מס"ד],TeamList[חדר שיפוט]))</f>
        <v xml:space="preserve"> חדר שיפוט 5 אדום</v>
      </c>
      <c r="H241" s="204">
        <f>_xlfn.XLOOKUP(G232,TimeTable[מס"ד],TimeTable[שעת שיפוט])</f>
        <v>0.46875</v>
      </c>
      <c r="I241" s="31">
        <f>H241+JS</f>
        <v>0.48749999999999999</v>
      </c>
      <c r="J241" s="75"/>
      <c r="K241" s="66"/>
      <c r="L241" s="30" t="str">
        <f>CONCATENATE(" חדר שיפוט ",_xlfn.XLOOKUP(L232,TeamList[מס"ד],TeamList[חדר שיפוט]))</f>
        <v xml:space="preserve"> חדר שיפוט 5 אדום</v>
      </c>
      <c r="M241" s="204">
        <f>_xlfn.XLOOKUP(L232,TimeTable[מס"ד],TimeTable[שעת שיפוט])</f>
        <v>0.56249999999999989</v>
      </c>
      <c r="N241" s="31">
        <f>M241+JS</f>
        <v>0.58124999999999993</v>
      </c>
      <c r="O241" s="75"/>
      <c r="P241"/>
      <c r="Q241"/>
      <c r="R241"/>
      <c r="S241"/>
      <c r="T241"/>
    </row>
    <row r="242" spans="1:31" ht="19.95" customHeight="1" x14ac:dyDescent="0.65">
      <c r="A242" s="77" t="str">
        <f>_xlfn.XLOOKUP(B232,TimeTable[מס"ד],TimeTable[שולחן הרצת אימון])</f>
        <v>2 אדום</v>
      </c>
      <c r="B242" s="30" t="str">
        <f>" מקצה אימונים - שולחן "&amp;A242&amp;" כניסה "&amp;IF(COUNTIF('תכנית לפי קבוצות'!$AA$3:$AA$6,A242)&gt;0,"א'","ב'")</f>
        <v xml:space="preserve"> מקצה אימונים - שולחן 2 אדום כניסה א'</v>
      </c>
      <c r="C242" s="204">
        <f>_xlfn.XLOOKUP(B232,TimeTable[מס"ד],TimeTable[שעת הרצת אימון])</f>
        <v>0.36458333333333331</v>
      </c>
      <c r="D242" s="31">
        <f>C242+TIME(0,3,0)</f>
        <v>0.36666666666666664</v>
      </c>
      <c r="E242" s="76"/>
      <c r="F242" s="77" t="str">
        <f>_xlfn.XLOOKUP(G232,TimeTable[מס"ד],TimeTable[שולחן הרצת אימון])</f>
        <v>5 אדום</v>
      </c>
      <c r="G242" s="30" t="str">
        <f>" מקצה אימונים - שולחן "&amp;F242&amp;" כניסה "&amp;IF(COUNTIF('תכנית לפי קבוצות'!$AA$3:$AA$6,F242)&gt;0,"א'","ב'")</f>
        <v xml:space="preserve"> מקצה אימונים - שולחן 5 אדום כניסה ב'</v>
      </c>
      <c r="H242" s="204">
        <f>_xlfn.XLOOKUP(G232,TimeTable[מס"ד],TimeTable[שעת הרצת אימון])</f>
        <v>0.38541666666666663</v>
      </c>
      <c r="I242" s="31">
        <f>H242+TIME(0,3,0)</f>
        <v>0.38749999999999996</v>
      </c>
      <c r="J242" s="76"/>
      <c r="K242" s="77" t="str">
        <f>_xlfn.XLOOKUP(L232,TimeTable[מס"ד],TimeTable[שולחן הרצת אימון])</f>
        <v>8 אדום</v>
      </c>
      <c r="L242" s="30" t="str">
        <f>" מקצה אימונים - שולחן "&amp;K242&amp;" כניסה "&amp;IF(COUNTIF('תכנית לפי קבוצות'!$AA$3:$AA$6,K242)&gt;0,"א'","ב'")</f>
        <v xml:space="preserve"> מקצה אימונים - שולחן 8 אדום כניסה ב'</v>
      </c>
      <c r="M242" s="204">
        <f>_xlfn.XLOOKUP(L232,TimeTable[מס"ד],TimeTable[שעת הרצת אימון])</f>
        <v>0.39374999999999993</v>
      </c>
      <c r="N242" s="31">
        <f>M242+TIME(0,3,0)</f>
        <v>0.39583333333333326</v>
      </c>
      <c r="O242" s="76"/>
      <c r="P242"/>
      <c r="Q242"/>
      <c r="R242"/>
      <c r="S242"/>
      <c r="T242"/>
    </row>
    <row r="243" spans="1:31" ht="19.95" customHeight="1" x14ac:dyDescent="0.65">
      <c r="A243" s="66" t="str">
        <f>_xlfn.XLOOKUP(B232,TimeTable[מס"ד],TimeTable[שולחן הרצה 1])</f>
        <v>2 אדום</v>
      </c>
      <c r="B243" s="30" t="str">
        <f>" מקצה 1 - שולחן "&amp;A243&amp;" כניסה "&amp;IF(COUNTIF('תכנית לפי קבוצות'!$AA$3:$AA$6,A243)&gt;0,"א'","ב'")</f>
        <v xml:space="preserve"> מקצה 1 - שולחן 2 אדום כניסה א'</v>
      </c>
      <c r="C243" s="204">
        <f>_xlfn.XLOOKUP(B232,TimeTable[מס"ד],TimeTable[שעת הרצה 1])</f>
        <v>0.45486111111111077</v>
      </c>
      <c r="D243" s="31">
        <f t="shared" ref="D243:D245" si="78">C243+TIME(0,3,0)</f>
        <v>0.4569444444444441</v>
      </c>
      <c r="E243" s="76"/>
      <c r="F243" s="66" t="str">
        <f>_xlfn.XLOOKUP(G232,TimeTable[מס"ד],TimeTable[שולחן הרצה 1])</f>
        <v>8 אדום</v>
      </c>
      <c r="G243" s="30" t="str">
        <f>" מקצה 1 - שולחן "&amp;F243&amp;" כניסה "&amp;IF(COUNTIF('תכנית לפי קבוצות'!$AA$3:$AA$6,F243)&gt;0,"א'","ב'")</f>
        <v xml:space="preserve"> מקצה 1 - שולחן 8 אדום כניסה ב'</v>
      </c>
      <c r="H243" s="204">
        <f>_xlfn.XLOOKUP(G232,TimeTable[מס"ד],TimeTable[שעת הרצה 1])</f>
        <v>0.44444444444444414</v>
      </c>
      <c r="I243" s="31">
        <f t="shared" ref="I243:I245" si="79">H243+TIME(0,3,0)</f>
        <v>0.44652777777777747</v>
      </c>
      <c r="J243" s="76"/>
      <c r="K243" s="66" t="str">
        <f>_xlfn.XLOOKUP(L232,TimeTable[מס"ד],TimeTable[שולחן הרצה 1])</f>
        <v>6 אדום</v>
      </c>
      <c r="L243" s="30" t="str">
        <f>" מקצה 1 - שולחן "&amp;K243&amp;" כניסה "&amp;IF(COUNTIF('תכנית לפי קבוצות'!$AA$3:$AA$6,K243)&gt;0,"א'","ב'")</f>
        <v xml:space="preserve"> מקצה 1 - שולחן 6 אדום כניסה ב'</v>
      </c>
      <c r="M243" s="204">
        <f>_xlfn.XLOOKUP(L232,TimeTable[מס"ד],TimeTable[שעת הרצה 1])</f>
        <v>0.4652777777777774</v>
      </c>
      <c r="N243" s="31">
        <f t="shared" ref="N243:N245" si="80">M243+TIME(0,3,0)</f>
        <v>0.46736111111111073</v>
      </c>
      <c r="O243" s="76"/>
      <c r="P243"/>
      <c r="Q243"/>
      <c r="R243"/>
      <c r="S243"/>
      <c r="T243"/>
    </row>
    <row r="244" spans="1:31" ht="19.95" customHeight="1" x14ac:dyDescent="0.65">
      <c r="A244" s="66" t="str">
        <f>_xlfn.XLOOKUP(B232,TimeTable[מס"ד],TimeTable[שולחן הרצה 2])</f>
        <v>1 אדום</v>
      </c>
      <c r="B244" s="30" t="str">
        <f>" מקצה 2 - שולחן "&amp;A244&amp;" כניסה "&amp;IF(COUNTIF('תכנית לפי קבוצות'!$AA$3:$AA$6,A244)&gt;0,"א'","ב'")</f>
        <v xml:space="preserve"> מקצה 2 - שולחן 1 אדום כניסה א'</v>
      </c>
      <c r="C244" s="204">
        <f>_xlfn.XLOOKUP(B232,TimeTable[מס"ד],TimeTable[שעת הרצה 2])</f>
        <v>0.52083333333333282</v>
      </c>
      <c r="D244" s="31">
        <f t="shared" si="78"/>
        <v>0.52291666666666614</v>
      </c>
      <c r="E244" s="76"/>
      <c r="F244" s="66" t="str">
        <f>_xlfn.XLOOKUP(G232,TimeTable[מס"ד],TimeTable[שולחן הרצה 2])</f>
        <v>4 אדום</v>
      </c>
      <c r="G244" s="30" t="str">
        <f>" מקצה 2 - שולחן "&amp;F244&amp;" כניסה "&amp;IF(COUNTIF('תכנית לפי קבוצות'!$AA$3:$AA$6,F244)&gt;0,"א'","ב'")</f>
        <v xml:space="preserve"> מקצה 2 - שולחן 4 אדום כניסה א'</v>
      </c>
      <c r="H244" s="204">
        <f>_xlfn.XLOOKUP(G232,TimeTable[מס"ד],TimeTable[שעת הרצה 2])</f>
        <v>0.54861111111111049</v>
      </c>
      <c r="I244" s="31">
        <f t="shared" si="79"/>
        <v>0.55069444444444382</v>
      </c>
      <c r="J244" s="76"/>
      <c r="K244" s="66" t="str">
        <f>_xlfn.XLOOKUP(L232,TimeTable[מס"ד],TimeTable[שולחן הרצה 2])</f>
        <v>7 אדום</v>
      </c>
      <c r="L244" s="30" t="str">
        <f>" מקצה 2 - שולחן "&amp;K244&amp;" כניסה "&amp;IF(COUNTIF('תכנית לפי קבוצות'!$AA$3:$AA$6,K244)&gt;0,"א'","ב'")</f>
        <v xml:space="preserve"> מקצה 2 - שולחן 7 אדום כניסה ב'</v>
      </c>
      <c r="M244" s="204">
        <f>_xlfn.XLOOKUP(L232,TimeTable[מס"ד],TimeTable[שעת הרצה 2])</f>
        <v>0.53819444444444386</v>
      </c>
      <c r="N244" s="31">
        <f t="shared" si="80"/>
        <v>0.54027777777777719</v>
      </c>
      <c r="O244" s="76"/>
      <c r="P244"/>
      <c r="Q244"/>
      <c r="R244"/>
      <c r="S244"/>
      <c r="T244"/>
    </row>
    <row r="245" spans="1:31" ht="19.95" customHeight="1" x14ac:dyDescent="0.65">
      <c r="A245" s="66" t="str">
        <f>_xlfn.XLOOKUP(B232,TimeTable[מס"ד],TimeTable[שולחן הרצה 3])</f>
        <v>3 אדום</v>
      </c>
      <c r="B245" s="30" t="str">
        <f>" מקצה 3 - שולחן "&amp;A245&amp;" כניסה "&amp;IF(COUNTIF('תכנית לפי קבוצות'!$AA$3:$AA$6,A245)&gt;0,"א'","ב'")</f>
        <v xml:space="preserve"> מקצה 3 - שולחן 3 אדום כניסה א'</v>
      </c>
      <c r="C245" s="204">
        <f>_xlfn.XLOOKUP(B232,TimeTable[מס"ד],TimeTable[שעת הרצה 3])</f>
        <v>0.59722222222222143</v>
      </c>
      <c r="D245" s="31">
        <f t="shared" si="78"/>
        <v>0.59930555555555476</v>
      </c>
      <c r="E245" s="76"/>
      <c r="F245" s="66" t="str">
        <f>_xlfn.XLOOKUP(G232,TimeTable[מס"ד],TimeTable[שולחן הרצה 3])</f>
        <v>1 אדום</v>
      </c>
      <c r="G245" s="30" t="str">
        <f>" מקצה 3 - שולחן "&amp;F245&amp;" כניסה "&amp;IF(COUNTIF('תכנית לפי קבוצות'!$AA$3:$AA$6,F245)&gt;0,"א'","ב'")</f>
        <v xml:space="preserve"> מקצה 3 - שולחן 1 אדום כניסה א'</v>
      </c>
      <c r="H245" s="204">
        <f>_xlfn.XLOOKUP(G232,TimeTable[מס"ד],TimeTable[שעת הרצה 3])</f>
        <v>0.61111111111111027</v>
      </c>
      <c r="I245" s="31">
        <f t="shared" si="79"/>
        <v>0.6131944444444436</v>
      </c>
      <c r="J245" s="76"/>
      <c r="K245" s="66" t="str">
        <f>_xlfn.XLOOKUP(L232,TimeTable[מס"ד],TimeTable[שולחן הרצה 3])</f>
        <v>7 אדום</v>
      </c>
      <c r="L245" s="30" t="str">
        <f>" מקצה 3 - שולחן "&amp;K245&amp;" כניסה "&amp;IF(COUNTIF('תכנית לפי קבוצות'!$AA$3:$AA$6,K245)&gt;0,"א'","ב'")</f>
        <v xml:space="preserve"> מקצה 3 - שולחן 7 אדום כניסה ב'</v>
      </c>
      <c r="M245" s="204">
        <f>_xlfn.XLOOKUP(L232,TimeTable[מס"ד],TimeTable[שעת הרצה 3])</f>
        <v>0.6215277777777769</v>
      </c>
      <c r="N245" s="31">
        <f t="shared" si="80"/>
        <v>0.62361111111111023</v>
      </c>
      <c r="O245" s="76"/>
      <c r="P245"/>
      <c r="Q245"/>
      <c r="R245"/>
      <c r="S245"/>
      <c r="T245"/>
    </row>
    <row r="246" spans="1:31" s="69" customFormat="1" ht="19.95" customHeight="1" x14ac:dyDescent="0.65">
      <c r="A246" s="203">
        <f>pits+TIME(2,0,0)</f>
        <v>8.3333333333333329E-2</v>
      </c>
      <c r="B246" s="30" t="s">
        <v>192</v>
      </c>
      <c r="C246" s="204"/>
      <c r="D246" s="31"/>
      <c r="E246" s="75"/>
      <c r="F246" s="203">
        <f>pits+TIME(2,0,0)</f>
        <v>8.3333333333333329E-2</v>
      </c>
      <c r="G246" s="30" t="s">
        <v>192</v>
      </c>
      <c r="H246" s="204"/>
      <c r="I246" s="31"/>
      <c r="J246" s="75"/>
      <c r="K246" s="203">
        <f>pits+TIME(2,0,0)</f>
        <v>8.3333333333333329E-2</v>
      </c>
      <c r="L246" s="30" t="s">
        <v>192</v>
      </c>
      <c r="M246" s="204"/>
      <c r="N246" s="31"/>
      <c r="O246" s="75"/>
      <c r="P246"/>
      <c r="Q246"/>
      <c r="R246"/>
      <c r="S246"/>
      <c r="T24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</row>
    <row r="247" spans="1:31" s="69" customFormat="1" ht="19.95" customHeight="1" x14ac:dyDescent="0.65">
      <c r="A247" s="77" t="str">
        <f>_xlfn.XLOOKUP(B232,TimeTable[מס"ד],TimeTable[שולחן הרצת טורניר])</f>
        <v>5 כחול</v>
      </c>
      <c r="B247" s="30" t="str">
        <f>" טורניר ידידות - שולחן "&amp;A247&amp;" כניסה "&amp;IF(COUNTIF('תכנית לפי קבוצות'!$AA$3:$AA$6,A247)&gt;0,"א'","ב'")&amp;", עם קבוצה "&amp;_xlfn.XLOOKUP(B232,TeamList2[מס"ד],TeamList2[מס'' הקבוצה])</f>
        <v xml:space="preserve"> טורניר ידידות - שולחן 5 כחול כניסה ב', עם קבוצה 2238</v>
      </c>
      <c r="C247" s="204">
        <f>_xlfn.XLOOKUP(_xlfn.XLOOKUP(B232,TeamList[מס"ד],TeamList[מס'' הקבוצה]),Table135[קבוצה],Table135[שעה])</f>
        <v>0.68402777777777768</v>
      </c>
      <c r="D247" s="31">
        <f t="shared" ref="D247" si="81">C247+TIME(0,3,0)</f>
        <v>0.68611111111111101</v>
      </c>
      <c r="E247" s="75"/>
      <c r="F247" s="77" t="str">
        <f>_xlfn.XLOOKUP(G232,TimeTable[מס"ד],TimeTable[שולחן הרצת טורניר])</f>
        <v>7 אדום</v>
      </c>
      <c r="G247" s="30" t="str">
        <f>" טורניר ידידות - שולחן "&amp;F247&amp;" כניסה "&amp;IF(COUNTIF('תכנית לפי קבוצות'!$AA$3:$AA$6,F247)&gt;0,"א'","ב'")&amp;", עם קבוצה "&amp;_xlfn.XLOOKUP(G232,TeamList2[מס"ד],TeamList2[מס'' הקבוצה])</f>
        <v xml:space="preserve"> טורניר ידידות - שולחן 7 אדום כניסה ב', עם קבוצה 518</v>
      </c>
      <c r="H247" s="204">
        <f>_xlfn.XLOOKUP(_xlfn.XLOOKUP(G232,TeamList[מס"ד],TeamList[מס'' הקבוצה]),Table135[קבוצה],Table135[שעה])</f>
        <v>0.67013888888888884</v>
      </c>
      <c r="I247" s="31">
        <f t="shared" ref="I247" si="82">H247+TIME(0,3,0)</f>
        <v>0.67222222222222217</v>
      </c>
      <c r="J247" s="75"/>
      <c r="K247" s="77" t="str">
        <f>_xlfn.XLOOKUP(L232,TimeTable[מס"ד],TimeTable[שולחן הרצת טורניר])</f>
        <v>8 אדום</v>
      </c>
      <c r="L247" s="30" t="str">
        <f>" טורניר ידידות - שולחן "&amp;K247&amp;" כניסה "&amp;IF(COUNTIF('תכנית לפי קבוצות'!$AA$3:$AA$6,K247)&gt;0,"א'","ב'")&amp;", עם קבוצה "&amp;_xlfn.XLOOKUP(L232,TeamList2[מס"ד],TeamList2[מס'' הקבוצה])</f>
        <v xml:space="preserve"> טורניר ידידות - שולחן 8 אדום כניסה ב', עם קבוצה 3101</v>
      </c>
      <c r="M247" s="204">
        <f>_xlfn.XLOOKUP(_xlfn.XLOOKUP(L232,TeamList[מס"ד],TeamList[מס'' הקבוצה]),Table135[קבוצה],Table135[שעה])</f>
        <v>0.67708333333333326</v>
      </c>
      <c r="N247" s="31">
        <f t="shared" ref="N247" si="83">M247+TIME(0,3,0)</f>
        <v>0.67916666666666659</v>
      </c>
      <c r="O247" s="75"/>
      <c r="P247"/>
      <c r="Q247"/>
      <c r="R247"/>
      <c r="S247"/>
      <c r="T247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</row>
    <row r="248" spans="1:31" s="69" customFormat="1" ht="19.95" customHeight="1" x14ac:dyDescent="0.65">
      <c r="A248" s="66"/>
      <c r="B248" s="139" t="str">
        <f>" "&amp;'תכנית לפי קבוצות'!$I$91</f>
        <v xml:space="preserve"> מסיבוטיקה</v>
      </c>
      <c r="C248" s="204">
        <f>מסיבוטיקה</f>
        <v>0.69444444444444453</v>
      </c>
      <c r="D248" s="31">
        <f>C249-TIME(0,5,0)</f>
        <v>0.70486111111111094</v>
      </c>
      <c r="E248" s="65"/>
      <c r="F248" s="66"/>
      <c r="G248" s="139" t="str">
        <f>" "&amp;'תכנית לפי קבוצות'!$I$91</f>
        <v xml:space="preserve"> מסיבוטיקה</v>
      </c>
      <c r="H248" s="204">
        <f>מסיבוטיקה</f>
        <v>0.69444444444444453</v>
      </c>
      <c r="I248" s="31">
        <f>H249-TIME(0,5,0)</f>
        <v>0.70486111111111094</v>
      </c>
      <c r="J248" s="65"/>
      <c r="K248" s="66"/>
      <c r="L248" s="139" t="str">
        <f>" "&amp;'תכנית לפי קבוצות'!$I$91</f>
        <v xml:space="preserve"> מסיבוטיקה</v>
      </c>
      <c r="M248" s="204">
        <f>מסיבוטיקה</f>
        <v>0.69444444444444453</v>
      </c>
      <c r="N248" s="31">
        <f>M249-TIME(0,5,0)</f>
        <v>0.70486111111111094</v>
      </c>
      <c r="O248" s="65"/>
      <c r="P248"/>
      <c r="Q248"/>
      <c r="R248"/>
      <c r="S248"/>
      <c r="T248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</row>
    <row r="249" spans="1:31" s="69" customFormat="1" ht="19.95" customHeight="1" thickBot="1" x14ac:dyDescent="0.8">
      <c r="A249" s="66"/>
      <c r="B249" s="70" t="s">
        <v>114</v>
      </c>
      <c r="C249" s="208">
        <f>סיום</f>
        <v>0.70833333333333315</v>
      </c>
      <c r="D249" s="209">
        <f>_xlfn.XLOOKUP(N,break_scheduler['# of teams],break_scheduler[END])</f>
        <v>0.73958333333333315</v>
      </c>
      <c r="E249" s="65"/>
      <c r="F249" s="66"/>
      <c r="G249" s="70" t="s">
        <v>114</v>
      </c>
      <c r="H249" s="208">
        <f>סיום</f>
        <v>0.70833333333333315</v>
      </c>
      <c r="I249" s="209">
        <f>_xlfn.XLOOKUP(N,break_scheduler['# of teams],break_scheduler[END])</f>
        <v>0.73958333333333315</v>
      </c>
      <c r="J249" s="65"/>
      <c r="K249" s="66"/>
      <c r="L249" s="70" t="s">
        <v>114</v>
      </c>
      <c r="M249" s="208">
        <f>סיום</f>
        <v>0.70833333333333315</v>
      </c>
      <c r="N249" s="209">
        <f>_xlfn.XLOOKUP(N,break_scheduler['# of teams],break_scheduler[END])</f>
        <v>0.73958333333333315</v>
      </c>
      <c r="O249" s="65"/>
      <c r="P249"/>
      <c r="Q249"/>
      <c r="R249"/>
      <c r="S249"/>
      <c r="T249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</row>
    <row r="250" spans="1:31" s="69" customFormat="1" ht="43.9" customHeight="1" x14ac:dyDescent="0.65">
      <c r="A250" s="210" t="s">
        <v>186</v>
      </c>
      <c r="B250" s="62"/>
      <c r="C250" s="62"/>
      <c r="D250" s="62"/>
      <c r="E250" s="62"/>
      <c r="F250" s="210" t="s">
        <v>186</v>
      </c>
      <c r="G250" s="62"/>
      <c r="H250" s="62"/>
      <c r="I250" s="62"/>
      <c r="J250" s="62"/>
      <c r="K250" s="210" t="s">
        <v>186</v>
      </c>
      <c r="L250" s="62"/>
      <c r="M250" s="62"/>
      <c r="N250" s="62"/>
      <c r="O250" s="62"/>
      <c r="P250"/>
      <c r="Q250"/>
      <c r="R250"/>
      <c r="S250"/>
      <c r="T250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</row>
    <row r="251" spans="1:31" s="69" customFormat="1" ht="19.95" customHeight="1" x14ac:dyDescent="0.65">
      <c r="A251" s="278" t="s">
        <v>187</v>
      </c>
      <c r="B251" s="278"/>
      <c r="C251" s="278"/>
      <c r="D251" s="278"/>
      <c r="E251" s="278"/>
      <c r="F251" s="278" t="s">
        <v>187</v>
      </c>
      <c r="G251" s="278"/>
      <c r="H251" s="278"/>
      <c r="I251" s="278"/>
      <c r="J251" s="278"/>
      <c r="K251" s="278" t="s">
        <v>187</v>
      </c>
      <c r="L251" s="278"/>
      <c r="M251" s="278"/>
      <c r="N251" s="278"/>
      <c r="O251" s="278"/>
      <c r="P251"/>
      <c r="Q251"/>
      <c r="R251"/>
      <c r="S251"/>
      <c r="T251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</row>
    <row r="252" spans="1:31" s="69" customFormat="1" ht="19.95" customHeight="1" x14ac:dyDescent="0.65">
      <c r="A252" s="279" t="s">
        <v>37</v>
      </c>
      <c r="B252" s="279"/>
      <c r="C252" s="279"/>
      <c r="D252" s="279"/>
      <c r="E252" s="279"/>
      <c r="F252" s="279" t="s">
        <v>37</v>
      </c>
      <c r="G252" s="279"/>
      <c r="H252" s="279"/>
      <c r="I252" s="279"/>
      <c r="J252" s="279"/>
      <c r="K252" s="279" t="s">
        <v>37</v>
      </c>
      <c r="L252" s="279"/>
      <c r="M252" s="279"/>
      <c r="N252" s="279"/>
      <c r="O252" s="279"/>
      <c r="P252"/>
      <c r="Q252"/>
      <c r="R252"/>
      <c r="S252"/>
      <c r="T252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</row>
    <row r="253" spans="1:31" ht="19.95" customHeight="1" x14ac:dyDescent="0.65">
      <c r="B253" s="67">
        <f>B232+1</f>
        <v>13</v>
      </c>
      <c r="G253" s="67">
        <f>G232+1</f>
        <v>27</v>
      </c>
      <c r="L253" s="67">
        <f>L232+1</f>
        <v>41</v>
      </c>
      <c r="P253"/>
      <c r="Q253"/>
      <c r="R253"/>
      <c r="S253"/>
      <c r="T253"/>
    </row>
    <row r="254" spans="1:31" ht="19.95" customHeight="1" x14ac:dyDescent="0.65">
      <c r="P254"/>
      <c r="Q254"/>
      <c r="R254"/>
      <c r="S254"/>
      <c r="T254"/>
    </row>
    <row r="255" spans="1:31" ht="19.95" customHeight="1" x14ac:dyDescent="0.65">
      <c r="P255"/>
      <c r="Q255"/>
      <c r="R255"/>
      <c r="S255"/>
      <c r="T255"/>
    </row>
    <row r="256" spans="1:31" ht="19.95" customHeight="1" x14ac:dyDescent="0.65">
      <c r="P256"/>
      <c r="Q256"/>
      <c r="R256"/>
      <c r="S256"/>
      <c r="T256"/>
    </row>
    <row r="257" spans="1:31" ht="19.95" customHeight="1" x14ac:dyDescent="0.65">
      <c r="P257"/>
      <c r="Q257"/>
      <c r="R257"/>
      <c r="S257"/>
      <c r="T257"/>
    </row>
    <row r="258" spans="1:31" ht="19.95" customHeight="1" thickBot="1" x14ac:dyDescent="0.8">
      <c r="P258"/>
      <c r="Q258"/>
      <c r="R258"/>
      <c r="S258"/>
      <c r="T258"/>
    </row>
    <row r="259" spans="1:31" ht="19.95" customHeight="1" thickBot="1" x14ac:dyDescent="0.8">
      <c r="A259" s="66"/>
      <c r="B259" s="275" t="str">
        <f>_xlfn.XLOOKUP(B253,TeamList[מס"ד],TeamList[מס'' הקבוצה])&amp;" "&amp;_xlfn.XLOOKUP(B253,TeamList[מס"ד],TeamList[שם הקבוצה])&amp;" "&amp;_xlfn.XLOOKUP(B253,TeamList[מס"ד],TeamList[ישוב])</f>
        <v>3185 תיכון דרך ירושלים</v>
      </c>
      <c r="C259" s="276"/>
      <c r="D259" s="277"/>
      <c r="E259" s="64"/>
      <c r="F259" s="66"/>
      <c r="G259" s="275" t="str">
        <f>_xlfn.XLOOKUP(G253,TeamList[מס"ד],TeamList[מס'' הקבוצה])&amp;" "&amp;_xlfn.XLOOKUP(G253,TeamList[מס"ד],TeamList[שם הקבוצה])&amp;" "&amp;_xlfn.XLOOKUP(G253,TeamList[מס"ד],TeamList[ישוב])</f>
        <v>240 קרית נוער  ירושלים</v>
      </c>
      <c r="H259" s="276"/>
      <c r="I259" s="277"/>
      <c r="J259" s="64"/>
      <c r="K259" s="66"/>
      <c r="L259" s="275" t="str">
        <f>_xlfn.XLOOKUP(L253,TeamList[מס"ד],TeamList[מס'' הקבוצה])&amp;" "&amp;_xlfn.XLOOKUP(L253,TeamList[מס"ד],TeamList[שם הקבוצה])&amp;" "&amp;_xlfn.XLOOKUP(L253,TeamList[מס"ד],TeamList[ישוב])</f>
        <v>3294 שלנו תל מונד</v>
      </c>
      <c r="M259" s="276"/>
      <c r="N259" s="277"/>
      <c r="O259" s="64"/>
      <c r="P259"/>
      <c r="Q259"/>
      <c r="R259"/>
      <c r="S259"/>
      <c r="T259"/>
    </row>
    <row r="260" spans="1:31" ht="19.95" customHeight="1" thickBot="1" x14ac:dyDescent="0.8">
      <c r="A260" s="66"/>
      <c r="B260" s="63" t="s">
        <v>35</v>
      </c>
      <c r="C260" s="206" t="s">
        <v>184</v>
      </c>
      <c r="D260" s="28" t="s">
        <v>185</v>
      </c>
      <c r="E260" s="64"/>
      <c r="F260" s="66"/>
      <c r="G260" s="63" t="s">
        <v>35</v>
      </c>
      <c r="H260" s="206" t="s">
        <v>184</v>
      </c>
      <c r="I260" s="28" t="s">
        <v>185</v>
      </c>
      <c r="J260" s="64"/>
      <c r="K260" s="66"/>
      <c r="L260" s="63" t="s">
        <v>35</v>
      </c>
      <c r="M260" s="206" t="s">
        <v>184</v>
      </c>
      <c r="N260" s="28" t="s">
        <v>185</v>
      </c>
      <c r="O260" s="64"/>
      <c r="P260"/>
      <c r="Q260"/>
      <c r="R260"/>
      <c r="S260"/>
      <c r="T260"/>
    </row>
    <row r="261" spans="1:31" ht="19.95" customHeight="1" x14ac:dyDescent="0.65">
      <c r="A261" s="66"/>
      <c r="B261" s="207" t="s">
        <v>113</v>
      </c>
      <c r="C261" s="205">
        <f>Opening</f>
        <v>0.41666666666666669</v>
      </c>
      <c r="D261" s="29">
        <f>C261+TIME(0,25,0)</f>
        <v>0.43402777777777779</v>
      </c>
      <c r="E261" s="74"/>
      <c r="F261" s="66"/>
      <c r="G261" s="207" t="s">
        <v>113</v>
      </c>
      <c r="H261" s="205">
        <f>Opening</f>
        <v>0.41666666666666669</v>
      </c>
      <c r="I261" s="29">
        <f>H261+TIME(0,25,0)</f>
        <v>0.43402777777777779</v>
      </c>
      <c r="J261" s="74"/>
      <c r="K261" s="66"/>
      <c r="L261" s="207" t="s">
        <v>113</v>
      </c>
      <c r="M261" s="205">
        <f>Opening</f>
        <v>0.41666666666666669</v>
      </c>
      <c r="N261" s="29">
        <f>M261+TIME(0,25,0)</f>
        <v>0.43402777777777779</v>
      </c>
      <c r="O261" s="74"/>
      <c r="P261"/>
      <c r="Q261"/>
      <c r="R261"/>
      <c r="S261"/>
      <c r="T261"/>
    </row>
    <row r="262" spans="1:31" ht="19.95" customHeight="1" x14ac:dyDescent="0.65">
      <c r="A262" s="66"/>
      <c r="B262" s="30" t="str">
        <f>CONCATENATE(" חדר שיפוט ",_xlfn.XLOOKUP(B253,TeamList[מס"ד],TeamList[חדר שיפוט]))</f>
        <v xml:space="preserve"> חדר שיפוט 6 אדום</v>
      </c>
      <c r="C262" s="204">
        <f>_xlfn.XLOOKUP(B253,TimeTable[מס"ד],TimeTable[שעת שיפוט])</f>
        <v>0.39583333333333331</v>
      </c>
      <c r="D262" s="31">
        <f>C262+JS</f>
        <v>0.4145833333333333</v>
      </c>
      <c r="E262" s="75"/>
      <c r="F262" s="66"/>
      <c r="G262" s="30" t="str">
        <f>CONCATENATE(" חדר שיפוט ",_xlfn.XLOOKUP(G253,TeamList[מס"ד],TeamList[חדר שיפוט]))</f>
        <v xml:space="preserve"> חדר שיפוט 6 אדום</v>
      </c>
      <c r="H262" s="204">
        <f>_xlfn.XLOOKUP(G253,TimeTable[מס"ד],TimeTable[שעת שיפוט])</f>
        <v>0.46875</v>
      </c>
      <c r="I262" s="31">
        <f>H262+JS</f>
        <v>0.48749999999999999</v>
      </c>
      <c r="J262" s="75"/>
      <c r="K262" s="66"/>
      <c r="L262" s="30" t="str">
        <f>CONCATENATE(" חדר שיפוט ",_xlfn.XLOOKUP(L253,TeamList[מס"ד],TeamList[חדר שיפוט]))</f>
        <v xml:space="preserve"> חדר שיפוט 6 אדום</v>
      </c>
      <c r="M262" s="204">
        <f>_xlfn.XLOOKUP(L253,TimeTable[מס"ד],TimeTable[שעת שיפוט])</f>
        <v>0.56249999999999989</v>
      </c>
      <c r="N262" s="31">
        <f>M262+JS</f>
        <v>0.58124999999999993</v>
      </c>
      <c r="O262" s="75"/>
      <c r="P262"/>
      <c r="Q262"/>
      <c r="R262"/>
      <c r="S262"/>
      <c r="T262"/>
    </row>
    <row r="263" spans="1:31" ht="19.95" customHeight="1" x14ac:dyDescent="0.65">
      <c r="A263" s="77" t="str">
        <f>_xlfn.XLOOKUP(B253,TimeTable[מס"ד],TimeTable[שולחן הרצת אימון])</f>
        <v>6 אדום</v>
      </c>
      <c r="B263" s="30" t="str">
        <f>" מקצה אימונים - שולחן "&amp;A263&amp;" כניסה "&amp;IF(COUNTIF('תכנית לפי קבוצות'!$AA$3:$AA$6,A263)&gt;0,"א'","ב'")</f>
        <v xml:space="preserve"> מקצה אימונים - שולחן 6 אדום כניסה ב'</v>
      </c>
      <c r="C263" s="204">
        <f>_xlfn.XLOOKUP(B253,TimeTable[מס"ד],TimeTable[שעת הרצת אימון])</f>
        <v>0.36874999999999997</v>
      </c>
      <c r="D263" s="31">
        <f>C263+TIME(0,3,0)</f>
        <v>0.37083333333333329</v>
      </c>
      <c r="E263" s="76"/>
      <c r="F263" s="77" t="str">
        <f>_xlfn.XLOOKUP(G253,TimeTable[מס"ד],TimeTable[שולחן הרצת אימון])</f>
        <v>1 אדום</v>
      </c>
      <c r="G263" s="30" t="str">
        <f>" מקצה אימונים - שולחן "&amp;F263&amp;" כניסה "&amp;IF(COUNTIF('תכנית לפי קבוצות'!$AA$3:$AA$6,F263)&gt;0,"א'","ב'")</f>
        <v xml:space="preserve"> מקצה אימונים - שולחן 1 אדום כניסה א'</v>
      </c>
      <c r="H263" s="204">
        <f>_xlfn.XLOOKUP(G253,TimeTable[מס"ד],TimeTable[שעת הרצת אימון])</f>
        <v>0.38958333333333328</v>
      </c>
      <c r="I263" s="31">
        <f>H263+TIME(0,3,0)</f>
        <v>0.39166666666666661</v>
      </c>
      <c r="J263" s="76"/>
      <c r="K263" s="77" t="str">
        <f>_xlfn.XLOOKUP(L253,TimeTable[מס"ד],TimeTable[שולחן הרצת אימון])</f>
        <v>3 אדום</v>
      </c>
      <c r="L263" s="30" t="str">
        <f>" מקצה אימונים - שולחן "&amp;K263&amp;" כניסה "&amp;IF(COUNTIF('תכנית לפי קבוצות'!$AA$3:$AA$6,K263)&gt;0,"א'","ב'")</f>
        <v xml:space="preserve"> מקצה אימונים - שולחן 3 אדום כניסה א'</v>
      </c>
      <c r="M263" s="204">
        <f>_xlfn.XLOOKUP(L253,TimeTable[מס"ד],TimeTable[שעת הרצת אימון])</f>
        <v>0.39791666666666659</v>
      </c>
      <c r="N263" s="31">
        <f>M263+TIME(0,3,0)</f>
        <v>0.39999999999999991</v>
      </c>
      <c r="O263" s="76"/>
      <c r="P263"/>
      <c r="Q263"/>
      <c r="R263"/>
      <c r="S263"/>
      <c r="T263"/>
    </row>
    <row r="264" spans="1:31" ht="19.95" customHeight="1" x14ac:dyDescent="0.65">
      <c r="A264" s="66" t="str">
        <f>_xlfn.XLOOKUP(B253,TimeTable[מס"ד],TimeTable[שולחן הרצה 1])</f>
        <v>6 אדום</v>
      </c>
      <c r="B264" s="30" t="str">
        <f>" מקצה 1 - שולחן "&amp;A264&amp;" כניסה "&amp;IF(COUNTIF('תכנית לפי קבוצות'!$AA$3:$AA$6,A264)&gt;0,"א'","ב'")</f>
        <v xml:space="preserve"> מקצה 1 - שולחן 6 אדום כניסה ב'</v>
      </c>
      <c r="C264" s="204">
        <f>_xlfn.XLOOKUP(B253,TimeTable[מס"ד],TimeTable[שעת הרצה 1])</f>
        <v>0.45833333333333298</v>
      </c>
      <c r="D264" s="31">
        <f t="shared" ref="D264:D266" si="84">C264+TIME(0,3,0)</f>
        <v>0.46041666666666631</v>
      </c>
      <c r="E264" s="76"/>
      <c r="F264" s="66" t="str">
        <f>_xlfn.XLOOKUP(G253,TimeTable[מס"ד],TimeTable[שולחן הרצה 1])</f>
        <v>1 אדום</v>
      </c>
      <c r="G264" s="30" t="str">
        <f>" מקצה 1 - שולחן "&amp;F264&amp;" כניסה "&amp;IF(COUNTIF('תכנית לפי קבוצות'!$AA$3:$AA$6,F264)&gt;0,"א'","ב'")</f>
        <v xml:space="preserve"> מקצה 1 - שולחן 1 אדום כניסה א'</v>
      </c>
      <c r="H264" s="204">
        <f>_xlfn.XLOOKUP(G253,TimeTable[מס"ד],TimeTable[שעת הרצה 1])</f>
        <v>0.44097222222222193</v>
      </c>
      <c r="I264" s="31">
        <f t="shared" ref="I264:I266" si="85">H264+TIME(0,3,0)</f>
        <v>0.44305555555555526</v>
      </c>
      <c r="J264" s="76"/>
      <c r="K264" s="66" t="str">
        <f>_xlfn.XLOOKUP(L253,TimeTable[מס"ד],TimeTable[שולחן הרצה 1])</f>
        <v>3 אדום</v>
      </c>
      <c r="L264" s="30" t="str">
        <f>" מקצה 1 - שולחן "&amp;K264&amp;" כניסה "&amp;IF(COUNTIF('תכנית לפי קבוצות'!$AA$3:$AA$6,K264)&gt;0,"א'","ב'")</f>
        <v xml:space="preserve"> מקצה 1 - שולחן 3 אדום כניסה א'</v>
      </c>
      <c r="M264" s="204">
        <f>_xlfn.XLOOKUP(L253,TimeTable[מס"ד],TimeTable[שעת הרצה 1])</f>
        <v>0.46874999999999961</v>
      </c>
      <c r="N264" s="31">
        <f t="shared" ref="N264:N266" si="86">M264+TIME(0,3,0)</f>
        <v>0.47083333333333294</v>
      </c>
      <c r="O264" s="76"/>
      <c r="P264"/>
      <c r="Q264"/>
      <c r="R264"/>
      <c r="S264"/>
      <c r="T264"/>
    </row>
    <row r="265" spans="1:31" ht="19.95" customHeight="1" x14ac:dyDescent="0.65">
      <c r="A265" s="66" t="str">
        <f>_xlfn.XLOOKUP(B253,TimeTable[מס"ד],TimeTable[שולחן הרצה 2])</f>
        <v>8 אדום</v>
      </c>
      <c r="B265" s="30" t="str">
        <f>" מקצה 2 - שולחן "&amp;A265&amp;" כניסה "&amp;IF(COUNTIF('תכנית לפי קבוצות'!$AA$3:$AA$6,A265)&gt;0,"א'","ב'")</f>
        <v xml:space="preserve"> מקצה 2 - שולחן 8 אדום כניסה ב'</v>
      </c>
      <c r="C265" s="204">
        <f>_xlfn.XLOOKUP(B253,TimeTable[מס"ד],TimeTable[שעת הרצה 2])</f>
        <v>0.52430555555555503</v>
      </c>
      <c r="D265" s="31">
        <f t="shared" si="84"/>
        <v>0.52638888888888835</v>
      </c>
      <c r="E265" s="76"/>
      <c r="F265" s="66" t="str">
        <f>_xlfn.XLOOKUP(G253,TimeTable[מס"ד],TimeTable[שולחן הרצה 2])</f>
        <v>8 אדום</v>
      </c>
      <c r="G265" s="30" t="str">
        <f>" מקצה 2 - שולחן "&amp;F265&amp;" כניסה "&amp;IF(COUNTIF('תכנית לפי קבוצות'!$AA$3:$AA$6,F265)&gt;0,"א'","ב'")</f>
        <v xml:space="preserve"> מקצה 2 - שולחן 8 אדום כניסה ב'</v>
      </c>
      <c r="H265" s="204">
        <f>_xlfn.XLOOKUP(G253,TimeTable[מס"ד],TimeTable[שעת הרצה 2])</f>
        <v>0.5520833333333327</v>
      </c>
      <c r="I265" s="31">
        <f t="shared" si="85"/>
        <v>0.55416666666666603</v>
      </c>
      <c r="J265" s="76"/>
      <c r="K265" s="66" t="str">
        <f>_xlfn.XLOOKUP(L253,TimeTable[מס"ד],TimeTable[שולחן הרצה 2])</f>
        <v>3 אדום</v>
      </c>
      <c r="L265" s="30" t="str">
        <f>" מקצה 2 - שולחן "&amp;K265&amp;" כניסה "&amp;IF(COUNTIF('תכנית לפי קבוצות'!$AA$3:$AA$6,K265)&gt;0,"א'","ב'")</f>
        <v xml:space="preserve"> מקצה 2 - שולחן 3 אדום כניסה א'</v>
      </c>
      <c r="M265" s="204">
        <f>_xlfn.XLOOKUP(L253,TimeTable[מס"ד],TimeTable[שעת הרצה 2])</f>
        <v>0.54166666666666607</v>
      </c>
      <c r="N265" s="31">
        <f t="shared" si="86"/>
        <v>0.5437499999999994</v>
      </c>
      <c r="O265" s="76"/>
      <c r="P265"/>
      <c r="Q265"/>
      <c r="R265"/>
      <c r="S265"/>
      <c r="T265"/>
    </row>
    <row r="266" spans="1:31" ht="19.95" customHeight="1" x14ac:dyDescent="0.65">
      <c r="A266" s="66" t="str">
        <f>_xlfn.XLOOKUP(B253,TimeTable[מס"ד],TimeTable[שולחן הרצה 3])</f>
        <v>6 אדום</v>
      </c>
      <c r="B266" s="30" t="str">
        <f>" מקצה 3 - שולחן "&amp;A266&amp;" כניסה "&amp;IF(COUNTIF('תכנית לפי קבוצות'!$AA$3:$AA$6,A266)&gt;0,"א'","ב'")</f>
        <v xml:space="preserve"> מקצה 3 - שולחן 6 אדום כניסה ב'</v>
      </c>
      <c r="C266" s="204">
        <f>_xlfn.XLOOKUP(B253,TimeTable[מס"ד],TimeTable[שעת הרצה 3])</f>
        <v>0.60069444444444364</v>
      </c>
      <c r="D266" s="31">
        <f t="shared" si="84"/>
        <v>0.60277777777777697</v>
      </c>
      <c r="E266" s="76"/>
      <c r="F266" s="66" t="str">
        <f>_xlfn.XLOOKUP(G253,TimeTable[מס"ד],TimeTable[שולחן הרצה 3])</f>
        <v>4 אדום</v>
      </c>
      <c r="G266" s="30" t="str">
        <f>" מקצה 3 - שולחן "&amp;F266&amp;" כניסה "&amp;IF(COUNTIF('תכנית לפי קבוצות'!$AA$3:$AA$6,F266)&gt;0,"א'","ב'")</f>
        <v xml:space="preserve"> מקצה 3 - שולחן 4 אדום כניסה א'</v>
      </c>
      <c r="H266" s="204">
        <f>_xlfn.XLOOKUP(G253,TimeTable[מס"ד],TimeTable[שעת הרצה 3])</f>
        <v>0.61111111111111027</v>
      </c>
      <c r="I266" s="31">
        <f t="shared" si="85"/>
        <v>0.6131944444444436</v>
      </c>
      <c r="J266" s="76"/>
      <c r="K266" s="66" t="str">
        <f>_xlfn.XLOOKUP(L253,TimeTable[מס"ד],TimeTable[שולחן הרצה 3])</f>
        <v>2 אדום</v>
      </c>
      <c r="L266" s="30" t="str">
        <f>" מקצה 3 - שולחן "&amp;K266&amp;" כניסה "&amp;IF(COUNTIF('תכנית לפי קבוצות'!$AA$3:$AA$6,K266)&gt;0,"א'","ב'")</f>
        <v xml:space="preserve"> מקצה 3 - שולחן 2 אדום כניסה א'</v>
      </c>
      <c r="M266" s="204">
        <f>_xlfn.XLOOKUP(L253,TimeTable[מס"ד],TimeTable[שעת הרצה 3])</f>
        <v>0.62499999999999911</v>
      </c>
      <c r="N266" s="31">
        <f t="shared" si="86"/>
        <v>0.62708333333333244</v>
      </c>
      <c r="O266" s="76"/>
      <c r="P266"/>
      <c r="Q266"/>
      <c r="R266"/>
      <c r="S266"/>
      <c r="T266"/>
    </row>
    <row r="267" spans="1:31" s="69" customFormat="1" ht="19.95" customHeight="1" x14ac:dyDescent="0.65">
      <c r="A267" s="203">
        <f>pits+TIME(2,0,0)</f>
        <v>8.3333333333333329E-2</v>
      </c>
      <c r="B267" s="30" t="s">
        <v>192</v>
      </c>
      <c r="C267" s="204"/>
      <c r="D267" s="31"/>
      <c r="E267" s="75"/>
      <c r="F267" s="203">
        <f>pits+TIME(2,0,0)</f>
        <v>8.3333333333333329E-2</v>
      </c>
      <c r="G267" s="30" t="s">
        <v>192</v>
      </c>
      <c r="H267" s="204"/>
      <c r="I267" s="31"/>
      <c r="J267" s="75"/>
      <c r="K267" s="203">
        <f>pits+TIME(2,0,0)</f>
        <v>8.3333333333333329E-2</v>
      </c>
      <c r="L267" s="30" t="s">
        <v>192</v>
      </c>
      <c r="M267" s="204"/>
      <c r="N267" s="31"/>
      <c r="O267" s="75"/>
      <c r="P267"/>
      <c r="Q267"/>
      <c r="R267"/>
      <c r="S267"/>
      <c r="T267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</row>
    <row r="268" spans="1:31" s="69" customFormat="1" ht="19.95" customHeight="1" x14ac:dyDescent="0.65">
      <c r="A268" s="77" t="str">
        <f>_xlfn.XLOOKUP(B253,TimeTable[מס"ד],TimeTable[שולחן הרצת טורניר])</f>
        <v>2 אדום</v>
      </c>
      <c r="B268" s="30" t="str">
        <f>" טורניר ידידות - שולחן "&amp;A268&amp;" כניסה "&amp;IF(COUNTIF('תכנית לפי קבוצות'!$AA$3:$AA$6,A268)&gt;0,"א'","ב'")&amp;", עם קבוצה "&amp;_xlfn.XLOOKUP(B253,TeamList2[מס"ד],TeamList2[מס'' הקבוצה])</f>
        <v xml:space="preserve"> טורניר ידידות - שולחן 2 אדום כניסה א', עם קבוצה 2649</v>
      </c>
      <c r="C268" s="204">
        <f>_xlfn.XLOOKUP(_xlfn.XLOOKUP(B253,TeamList[מס"ד],TeamList[מס'' הקבוצה]),Table135[קבוצה],Table135[שעה])</f>
        <v>0.66666666666666663</v>
      </c>
      <c r="D268" s="31">
        <f t="shared" ref="D268" si="87">C268+TIME(0,3,0)</f>
        <v>0.66874999999999996</v>
      </c>
      <c r="E268" s="75"/>
      <c r="F268" s="77" t="str">
        <f>_xlfn.XLOOKUP(G253,TimeTable[מס"ד],TimeTable[שולחן הרצת טורניר])</f>
        <v>3 אדום</v>
      </c>
      <c r="G268" s="30" t="str">
        <f>" טורניר ידידות - שולחן "&amp;F268&amp;" כניסה "&amp;IF(COUNTIF('תכנית לפי קבוצות'!$AA$3:$AA$6,F268)&gt;0,"א'","ב'")&amp;", עם קבוצה "&amp;_xlfn.XLOOKUP(G253,TeamList2[מס"ד],TeamList2[מס'' הקבוצה])</f>
        <v xml:space="preserve"> טורניר ידידות - שולחן 3 אדום כניסה א', עם קבוצה 2848</v>
      </c>
      <c r="H268" s="204">
        <f>_xlfn.XLOOKUP(_xlfn.XLOOKUP(G253,TeamList[מס"ד],TeamList[מס'' הקבוצה]),Table135[קבוצה],Table135[שעה])</f>
        <v>0.67361111111111105</v>
      </c>
      <c r="I268" s="31">
        <f t="shared" ref="I268" si="88">H268+TIME(0,3,0)</f>
        <v>0.67569444444444438</v>
      </c>
      <c r="J268" s="75"/>
      <c r="K268" s="77" t="str">
        <f>_xlfn.XLOOKUP(L253,TimeTable[מס"ד],TimeTable[שולחן הרצת טורניר])</f>
        <v>4 אדום</v>
      </c>
      <c r="L268" s="30" t="str">
        <f>" טורניר ידידות - שולחן "&amp;K268&amp;" כניסה "&amp;IF(COUNTIF('תכנית לפי קבוצות'!$AA$3:$AA$6,K268)&gt;0,"א'","ב'")&amp;", עם קבוצה "&amp;_xlfn.XLOOKUP(L253,TeamList2[מס"ד],TeamList2[מס'' הקבוצה])</f>
        <v xml:space="preserve"> טורניר ידידות - שולחן 4 אדום כניסה א', עם קבוצה 3252</v>
      </c>
      <c r="M268" s="204">
        <f>_xlfn.XLOOKUP(_xlfn.XLOOKUP(L253,TeamList[מס"ד],TeamList[מס'' הקבוצה]),Table135[קבוצה],Table135[שעה])</f>
        <v>0.68055555555555547</v>
      </c>
      <c r="N268" s="31">
        <f t="shared" ref="N268" si="89">M268+TIME(0,3,0)</f>
        <v>0.6826388888888888</v>
      </c>
      <c r="O268" s="75"/>
      <c r="P268"/>
      <c r="Q268"/>
      <c r="R268"/>
      <c r="S268"/>
      <c r="T268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</row>
    <row r="269" spans="1:31" s="69" customFormat="1" ht="19.95" customHeight="1" x14ac:dyDescent="0.65">
      <c r="A269" s="66"/>
      <c r="B269" s="139" t="str">
        <f>" "&amp;'תכנית לפי קבוצות'!$I$91</f>
        <v xml:space="preserve"> מסיבוטיקה</v>
      </c>
      <c r="C269" s="204">
        <f>מסיבוטיקה</f>
        <v>0.69444444444444453</v>
      </c>
      <c r="D269" s="31">
        <f>C270-TIME(0,5,0)</f>
        <v>0.70486111111111094</v>
      </c>
      <c r="E269" s="65"/>
      <c r="F269" s="66"/>
      <c r="G269" s="139" t="str">
        <f>" "&amp;'תכנית לפי קבוצות'!$I$91</f>
        <v xml:space="preserve"> מסיבוטיקה</v>
      </c>
      <c r="H269" s="204">
        <f>מסיבוטיקה</f>
        <v>0.69444444444444453</v>
      </c>
      <c r="I269" s="31">
        <f>H270-TIME(0,5,0)</f>
        <v>0.70486111111111094</v>
      </c>
      <c r="J269" s="65"/>
      <c r="K269" s="66"/>
      <c r="L269" s="139" t="str">
        <f>" "&amp;'תכנית לפי קבוצות'!$I$91</f>
        <v xml:space="preserve"> מסיבוטיקה</v>
      </c>
      <c r="M269" s="204">
        <f>מסיבוטיקה</f>
        <v>0.69444444444444453</v>
      </c>
      <c r="N269" s="31">
        <f>M270-TIME(0,5,0)</f>
        <v>0.70486111111111094</v>
      </c>
      <c r="O269" s="65"/>
      <c r="P269"/>
      <c r="Q269"/>
      <c r="R269"/>
      <c r="S269"/>
      <c r="T269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</row>
    <row r="270" spans="1:31" s="69" customFormat="1" ht="19.95" customHeight="1" thickBot="1" x14ac:dyDescent="0.8">
      <c r="A270" s="66"/>
      <c r="B270" s="70" t="s">
        <v>114</v>
      </c>
      <c r="C270" s="208">
        <f>סיום</f>
        <v>0.70833333333333315</v>
      </c>
      <c r="D270" s="209">
        <f>_xlfn.XLOOKUP(N,break_scheduler['# of teams],break_scheduler[END])</f>
        <v>0.73958333333333315</v>
      </c>
      <c r="E270" s="65"/>
      <c r="F270" s="66"/>
      <c r="G270" s="70" t="s">
        <v>114</v>
      </c>
      <c r="H270" s="208">
        <f>סיום</f>
        <v>0.70833333333333315</v>
      </c>
      <c r="I270" s="209">
        <f>_xlfn.XLOOKUP(N,break_scheduler['# of teams],break_scheduler[END])</f>
        <v>0.73958333333333315</v>
      </c>
      <c r="J270" s="65"/>
      <c r="K270" s="66"/>
      <c r="L270" s="70" t="s">
        <v>114</v>
      </c>
      <c r="M270" s="208">
        <f>סיום</f>
        <v>0.70833333333333315</v>
      </c>
      <c r="N270" s="209">
        <f>_xlfn.XLOOKUP(N,break_scheduler['# of teams],break_scheduler[END])</f>
        <v>0.73958333333333315</v>
      </c>
      <c r="O270" s="65"/>
      <c r="P270"/>
      <c r="Q270"/>
      <c r="R270"/>
      <c r="S270"/>
      <c r="T270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</row>
    <row r="271" spans="1:31" s="69" customFormat="1" ht="43.9" customHeight="1" x14ac:dyDescent="0.65">
      <c r="A271" s="210" t="s">
        <v>186</v>
      </c>
      <c r="B271" s="62"/>
      <c r="C271" s="62"/>
      <c r="D271" s="62"/>
      <c r="E271" s="62"/>
      <c r="F271" s="210" t="s">
        <v>186</v>
      </c>
      <c r="G271" s="62"/>
      <c r="H271" s="62"/>
      <c r="I271" s="62"/>
      <c r="J271" s="62"/>
      <c r="K271" s="210" t="s">
        <v>186</v>
      </c>
      <c r="L271" s="62"/>
      <c r="M271" s="62"/>
      <c r="N271" s="62"/>
      <c r="O271" s="62"/>
      <c r="P271"/>
      <c r="Q271"/>
      <c r="R271"/>
      <c r="S271"/>
      <c r="T271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</row>
    <row r="272" spans="1:31" s="69" customFormat="1" ht="19.95" customHeight="1" x14ac:dyDescent="0.65">
      <c r="A272" s="278" t="s">
        <v>187</v>
      </c>
      <c r="B272" s="278"/>
      <c r="C272" s="278"/>
      <c r="D272" s="278"/>
      <c r="E272" s="278"/>
      <c r="F272" s="278" t="s">
        <v>187</v>
      </c>
      <c r="G272" s="278"/>
      <c r="H272" s="278"/>
      <c r="I272" s="278"/>
      <c r="J272" s="278"/>
      <c r="K272" s="278" t="s">
        <v>187</v>
      </c>
      <c r="L272" s="278"/>
      <c r="M272" s="278"/>
      <c r="N272" s="278"/>
      <c r="O272" s="278"/>
      <c r="P272"/>
      <c r="Q272"/>
      <c r="R272"/>
      <c r="S272"/>
      <c r="T272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</row>
    <row r="273" spans="1:31" s="69" customFormat="1" ht="19.95" customHeight="1" x14ac:dyDescent="0.65">
      <c r="A273" s="279" t="s">
        <v>37</v>
      </c>
      <c r="B273" s="279"/>
      <c r="C273" s="279"/>
      <c r="D273" s="279"/>
      <c r="E273" s="279"/>
      <c r="F273" s="279" t="s">
        <v>37</v>
      </c>
      <c r="G273" s="279"/>
      <c r="H273" s="279"/>
      <c r="I273" s="279"/>
      <c r="J273" s="279"/>
      <c r="K273" s="279" t="s">
        <v>37</v>
      </c>
      <c r="L273" s="279"/>
      <c r="M273" s="279"/>
      <c r="N273" s="279"/>
      <c r="O273" s="279"/>
      <c r="P273"/>
      <c r="Q273"/>
      <c r="R273"/>
      <c r="S273"/>
      <c r="T273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</row>
    <row r="274" spans="1:31" ht="19.95" customHeight="1" x14ac:dyDescent="0.65">
      <c r="B274" s="67">
        <f>B253+1</f>
        <v>14</v>
      </c>
      <c r="G274" s="67">
        <f>G253+1</f>
        <v>28</v>
      </c>
      <c r="L274" s="67">
        <f>L253+1</f>
        <v>42</v>
      </c>
      <c r="P274"/>
      <c r="Q274"/>
      <c r="R274"/>
      <c r="S274"/>
      <c r="T274"/>
    </row>
    <row r="275" spans="1:31" ht="19.95" customHeight="1" x14ac:dyDescent="0.65">
      <c r="P275"/>
      <c r="Q275"/>
      <c r="R275"/>
      <c r="S275"/>
      <c r="T275"/>
    </row>
    <row r="276" spans="1:31" ht="19.95" customHeight="1" x14ac:dyDescent="0.65">
      <c r="P276"/>
      <c r="Q276"/>
      <c r="R276"/>
      <c r="S276"/>
      <c r="T276"/>
    </row>
    <row r="277" spans="1:31" ht="19.95" customHeight="1" x14ac:dyDescent="0.65">
      <c r="P277"/>
      <c r="Q277"/>
      <c r="R277"/>
      <c r="S277"/>
      <c r="T277"/>
    </row>
    <row r="278" spans="1:31" ht="19.95" customHeight="1" x14ac:dyDescent="0.65">
      <c r="P278"/>
      <c r="Q278"/>
      <c r="R278"/>
      <c r="S278"/>
      <c r="T278"/>
    </row>
    <row r="279" spans="1:31" ht="19.95" customHeight="1" thickBot="1" x14ac:dyDescent="0.8">
      <c r="P279"/>
      <c r="Q279"/>
      <c r="R279"/>
      <c r="S279"/>
      <c r="T279"/>
    </row>
    <row r="280" spans="1:31" ht="19.95" customHeight="1" thickBot="1" x14ac:dyDescent="0.8">
      <c r="A280" s="66"/>
      <c r="B280" s="275" t="str">
        <f>_xlfn.XLOOKUP(B274,TeamList[מס"ד],TeamList[מס'' הקבוצה])&amp;" "&amp;_xlfn.XLOOKUP(B274,TeamList[מס"ד],TeamList[שם הקבוצה])&amp;" "&amp;_xlfn.XLOOKUP(B274,TeamList[מס"ד],TeamList[ישוב])</f>
        <v>3179 נצח ישראל בית שמש</v>
      </c>
      <c r="C280" s="276"/>
      <c r="D280" s="277"/>
      <c r="E280" s="64"/>
      <c r="F280" s="66"/>
      <c r="G280" s="275" t="str">
        <f>_xlfn.XLOOKUP(G274,TeamList[מס"ד],TeamList[מס'' הקבוצה])&amp;" "&amp;_xlfn.XLOOKUP(G274,TeamList[מס"ד],TeamList[שם הקבוצה])&amp;" "&amp;_xlfn.XLOOKUP(G274,TeamList[מס"ד],TeamList[ישוב])</f>
        <v>1697 לאורו נלך  בני ברק</v>
      </c>
      <c r="H280" s="276"/>
      <c r="I280" s="277"/>
      <c r="J280" s="64"/>
      <c r="K280" s="66"/>
      <c r="L280" s="275" t="str">
        <f>_xlfn.XLOOKUP(L274,TeamList[מס"ד],TeamList[מס'' הקבוצה])&amp;" "&amp;_xlfn.XLOOKUP(L274,TeamList[מס"ד],TeamList[שם הקבוצה])&amp;" "&amp;_xlfn.XLOOKUP(L274,TeamList[מס"ד],TeamList[ישוב])</f>
        <v>3184 תיכון דרך ירושלים</v>
      </c>
      <c r="M280" s="276"/>
      <c r="N280" s="277"/>
      <c r="O280" s="64"/>
      <c r="P280"/>
      <c r="Q280"/>
      <c r="R280"/>
      <c r="S280"/>
      <c r="T280"/>
    </row>
    <row r="281" spans="1:31" ht="19.95" customHeight="1" thickBot="1" x14ac:dyDescent="0.8">
      <c r="A281" s="66"/>
      <c r="B281" s="63" t="s">
        <v>35</v>
      </c>
      <c r="C281" s="206" t="s">
        <v>184</v>
      </c>
      <c r="D281" s="28" t="s">
        <v>185</v>
      </c>
      <c r="E281" s="64"/>
      <c r="F281" s="66"/>
      <c r="G281" s="63" t="s">
        <v>35</v>
      </c>
      <c r="H281" s="206" t="s">
        <v>184</v>
      </c>
      <c r="I281" s="28" t="s">
        <v>185</v>
      </c>
      <c r="J281" s="64"/>
      <c r="K281" s="66"/>
      <c r="L281" s="63" t="s">
        <v>35</v>
      </c>
      <c r="M281" s="206" t="s">
        <v>184</v>
      </c>
      <c r="N281" s="28" t="s">
        <v>185</v>
      </c>
      <c r="O281" s="64"/>
      <c r="P281"/>
      <c r="Q281"/>
      <c r="R281"/>
      <c r="S281"/>
      <c r="T281"/>
    </row>
    <row r="282" spans="1:31" ht="19.95" customHeight="1" x14ac:dyDescent="0.65">
      <c r="A282" s="66"/>
      <c r="B282" s="207" t="s">
        <v>113</v>
      </c>
      <c r="C282" s="205">
        <f>Opening</f>
        <v>0.41666666666666669</v>
      </c>
      <c r="D282" s="29">
        <f>C282+TIME(0,25,0)</f>
        <v>0.43402777777777779</v>
      </c>
      <c r="E282" s="74"/>
      <c r="F282" s="66"/>
      <c r="G282" s="207" t="s">
        <v>113</v>
      </c>
      <c r="H282" s="205">
        <f>Opening</f>
        <v>0.41666666666666669</v>
      </c>
      <c r="I282" s="29">
        <f>H282+TIME(0,25,0)</f>
        <v>0.43402777777777779</v>
      </c>
      <c r="J282" s="74"/>
      <c r="K282" s="66"/>
      <c r="L282" s="207" t="s">
        <v>113</v>
      </c>
      <c r="M282" s="205">
        <f>Opening</f>
        <v>0.41666666666666669</v>
      </c>
      <c r="N282" s="29">
        <f>M282+TIME(0,25,0)</f>
        <v>0.43402777777777779</v>
      </c>
      <c r="O282" s="74"/>
      <c r="P282"/>
      <c r="Q282"/>
      <c r="R282"/>
      <c r="S282"/>
      <c r="T282"/>
    </row>
    <row r="283" spans="1:31" ht="19.95" customHeight="1" x14ac:dyDescent="0.65">
      <c r="A283" s="66"/>
      <c r="B283" s="30" t="str">
        <f>CONCATENATE(" חדר שיפוט ",_xlfn.XLOOKUP(B274,TeamList[מס"ד],TeamList[חדר שיפוט]))</f>
        <v xml:space="preserve"> חדר שיפוט 7 אדום</v>
      </c>
      <c r="C283" s="204">
        <f>_xlfn.XLOOKUP(B274,TimeTable[מס"ד],TimeTable[שעת שיפוט])</f>
        <v>0.39583333333333331</v>
      </c>
      <c r="D283" s="31">
        <f>C283+JS</f>
        <v>0.4145833333333333</v>
      </c>
      <c r="E283" s="75"/>
      <c r="F283" s="66"/>
      <c r="G283" s="30" t="str">
        <f>CONCATENATE(" חדר שיפוט ",_xlfn.XLOOKUP(G274,TeamList[מס"ד],TeamList[חדר שיפוט]))</f>
        <v xml:space="preserve"> חדר שיפוט 7 אדום</v>
      </c>
      <c r="H283" s="204">
        <f>_xlfn.XLOOKUP(G274,TimeTable[מס"ד],TimeTable[שעת שיפוט])</f>
        <v>0.46875</v>
      </c>
      <c r="I283" s="31">
        <f>H283+JS</f>
        <v>0.48749999999999999</v>
      </c>
      <c r="J283" s="75"/>
      <c r="K283" s="66"/>
      <c r="L283" s="30" t="str">
        <f>CONCATENATE(" חדר שיפוט ",_xlfn.XLOOKUP(L274,TeamList[מס"ד],TeamList[חדר שיפוט]))</f>
        <v xml:space="preserve"> חדר שיפוט 7 אדום</v>
      </c>
      <c r="M283" s="204">
        <f>_xlfn.XLOOKUP(L274,TimeTable[מס"ד],TimeTable[שעת שיפוט])</f>
        <v>0.56249999999999989</v>
      </c>
      <c r="N283" s="31">
        <f>M283+JS</f>
        <v>0.58124999999999993</v>
      </c>
      <c r="O283" s="75"/>
      <c r="P283"/>
      <c r="Q283"/>
      <c r="R283"/>
      <c r="S283"/>
      <c r="T283"/>
    </row>
    <row r="284" spans="1:31" ht="19.95" customHeight="1" x14ac:dyDescent="0.65">
      <c r="A284" s="77" t="str">
        <f>_xlfn.XLOOKUP(B274,TimeTable[מס"ד],TimeTable[שולחן הרצת אימון])</f>
        <v>2 אדום</v>
      </c>
      <c r="B284" s="30" t="str">
        <f>" מקצה אימונים - שולחן "&amp;A284&amp;" כניסה "&amp;IF(COUNTIF('תכנית לפי קבוצות'!$AA$3:$AA$6,A284)&gt;0,"א'","ב'")</f>
        <v xml:space="preserve"> מקצה אימונים - שולחן 2 אדום כניסה א'</v>
      </c>
      <c r="C284" s="204">
        <f>_xlfn.XLOOKUP(B274,TimeTable[מס"ד],TimeTable[שעת הרצת אימון])</f>
        <v>0.37291666666666662</v>
      </c>
      <c r="D284" s="31">
        <f>C284+TIME(0,3,0)</f>
        <v>0.37499999999999994</v>
      </c>
      <c r="E284" s="76"/>
      <c r="F284" s="77" t="str">
        <f>_xlfn.XLOOKUP(G274,TimeTable[מס"ד],TimeTable[שולחן הרצת אימון])</f>
        <v>5 אדום</v>
      </c>
      <c r="G284" s="30" t="str">
        <f>" מקצה אימונים - שולחן "&amp;F284&amp;" כניסה "&amp;IF(COUNTIF('תכנית לפי קבוצות'!$AA$3:$AA$6,F284)&gt;0,"א'","ב'")</f>
        <v xml:space="preserve"> מקצה אימונים - שולחן 5 אדום כניסה ב'</v>
      </c>
      <c r="H284" s="204">
        <f>_xlfn.XLOOKUP(G274,TimeTable[מס"ד],TimeTable[שעת הרצת אימון])</f>
        <v>0.39374999999999993</v>
      </c>
      <c r="I284" s="31">
        <f>H284+TIME(0,3,0)</f>
        <v>0.39583333333333326</v>
      </c>
      <c r="J284" s="76"/>
      <c r="K284" s="77" t="str">
        <f>_xlfn.XLOOKUP(L274,TimeTable[מס"ד],TimeTable[שולחן הרצת אימון])</f>
        <v>7 אדום</v>
      </c>
      <c r="L284" s="30" t="str">
        <f>" מקצה אימונים - שולחן "&amp;K284&amp;" כניסה "&amp;IF(COUNTIF('תכנית לפי קבוצות'!$AA$3:$AA$6,K284)&gt;0,"א'","ב'")</f>
        <v xml:space="preserve"> מקצה אימונים - שולחן 7 אדום כניסה ב'</v>
      </c>
      <c r="M284" s="204">
        <f>_xlfn.XLOOKUP(L274,TimeTable[מס"ד],TimeTable[שעת הרצת אימון])</f>
        <v>0.40208333333333324</v>
      </c>
      <c r="N284" s="31">
        <f>M284+TIME(0,3,0)</f>
        <v>0.40416666666666656</v>
      </c>
      <c r="O284" s="76"/>
      <c r="P284"/>
      <c r="Q284"/>
      <c r="R284"/>
      <c r="S284"/>
      <c r="T284"/>
    </row>
    <row r="285" spans="1:31" ht="19.95" customHeight="1" x14ac:dyDescent="0.65">
      <c r="A285" s="66" t="str">
        <f>_xlfn.XLOOKUP(B274,TimeTable[מס"ד],TimeTable[שולחן הרצה 1])</f>
        <v>3 אדום</v>
      </c>
      <c r="B285" s="30" t="str">
        <f>" מקצה 1 - שולחן "&amp;A285&amp;" כניסה "&amp;IF(COUNTIF('תכנית לפי קבוצות'!$AA$3:$AA$6,A285)&gt;0,"א'","ב'")</f>
        <v xml:space="preserve"> מקצה 1 - שולחן 3 אדום כניסה א'</v>
      </c>
      <c r="C285" s="204">
        <f>_xlfn.XLOOKUP(B274,TimeTable[מס"ד],TimeTable[שעת הרצה 1])</f>
        <v>0.47569444444444403</v>
      </c>
      <c r="D285" s="31">
        <f t="shared" ref="D285:D287" si="90">C285+TIME(0,3,0)</f>
        <v>0.47777777777777736</v>
      </c>
      <c r="E285" s="76"/>
      <c r="F285" s="66" t="str">
        <f>_xlfn.XLOOKUP(G274,TimeTable[מס"ד],TimeTable[שולחן הרצה 1])</f>
        <v>5 אדום</v>
      </c>
      <c r="G285" s="30" t="str">
        <f>" מקצה 1 - שולחן "&amp;F285&amp;" כניסה "&amp;IF(COUNTIF('תכנית לפי קבוצות'!$AA$3:$AA$6,F285)&gt;0,"א'","ב'")</f>
        <v xml:space="preserve"> מקצה 1 - שולחן 5 אדום כניסה ב'</v>
      </c>
      <c r="H285" s="204">
        <f>_xlfn.XLOOKUP(G274,TimeTable[מס"ד],TimeTable[שעת הרצה 1])</f>
        <v>0.44444444444444414</v>
      </c>
      <c r="I285" s="31">
        <f t="shared" ref="I285:I287" si="91">H285+TIME(0,3,0)</f>
        <v>0.44652777777777747</v>
      </c>
      <c r="J285" s="76"/>
      <c r="K285" s="66" t="str">
        <f>_xlfn.XLOOKUP(L274,TimeTable[מס"ד],TimeTable[שולחן הרצה 1])</f>
        <v>7 אדום</v>
      </c>
      <c r="L285" s="30" t="str">
        <f>" מקצה 1 - שולחן "&amp;K285&amp;" כניסה "&amp;IF(COUNTIF('תכנית לפי קבוצות'!$AA$3:$AA$6,K285)&gt;0,"א'","ב'")</f>
        <v xml:space="preserve"> מקצה 1 - שולחן 7 אדום כניסה ב'</v>
      </c>
      <c r="M285" s="204">
        <f>_xlfn.XLOOKUP(L274,TimeTable[מס"ד],TimeTable[שעת הרצה 1])</f>
        <v>0.47222222222222182</v>
      </c>
      <c r="N285" s="31">
        <f t="shared" ref="N285:N287" si="92">M285+TIME(0,3,0)</f>
        <v>0.47430555555555515</v>
      </c>
      <c r="O285" s="76"/>
      <c r="P285"/>
      <c r="Q285"/>
      <c r="R285"/>
      <c r="S285"/>
      <c r="T285"/>
    </row>
    <row r="286" spans="1:31" ht="19.95" customHeight="1" x14ac:dyDescent="0.65">
      <c r="A286" s="66" t="str">
        <f>_xlfn.XLOOKUP(B274,TimeTable[מס"ד],TimeTable[שולחן הרצה 2])</f>
        <v>4 אדום</v>
      </c>
      <c r="B286" s="30" t="str">
        <f>" מקצה 2 - שולחן "&amp;A286&amp;" כניסה "&amp;IF(COUNTIF('תכנית לפי קבוצות'!$AA$3:$AA$6,A286)&gt;0,"א'","ב'")</f>
        <v xml:space="preserve"> מקצה 2 - שולחן 4 אדום כניסה א'</v>
      </c>
      <c r="C286" s="204">
        <f>_xlfn.XLOOKUP(B274,TimeTable[מס"ד],TimeTable[שעת הרצה 2])</f>
        <v>0.52777777777777724</v>
      </c>
      <c r="D286" s="31">
        <f t="shared" si="90"/>
        <v>0.52986111111111056</v>
      </c>
      <c r="E286" s="76"/>
      <c r="F286" s="66" t="str">
        <f>_xlfn.XLOOKUP(G274,TimeTable[מס"ד],TimeTable[שולחן הרצה 2])</f>
        <v>7 אדום</v>
      </c>
      <c r="G286" s="30" t="str">
        <f>" מקצה 2 - שולחן "&amp;F286&amp;" כניסה "&amp;IF(COUNTIF('תכנית לפי קבוצות'!$AA$3:$AA$6,F286)&gt;0,"א'","ב'")</f>
        <v xml:space="preserve"> מקצה 2 - שולחן 7 אדום כניסה ב'</v>
      </c>
      <c r="H286" s="204">
        <f>_xlfn.XLOOKUP(G274,TimeTable[מס"ד],TimeTable[שעת הרצה 2])</f>
        <v>0.54513888888888828</v>
      </c>
      <c r="I286" s="31">
        <f t="shared" si="91"/>
        <v>0.54722222222222161</v>
      </c>
      <c r="J286" s="76"/>
      <c r="K286" s="66" t="str">
        <f>_xlfn.XLOOKUP(L274,TimeTable[מס"ד],TimeTable[שולחן הרצה 2])</f>
        <v>2 אדום</v>
      </c>
      <c r="L286" s="30" t="str">
        <f>" מקצה 2 - שולחן "&amp;K286&amp;" כניסה "&amp;IF(COUNTIF('תכנית לפי קבוצות'!$AA$3:$AA$6,K286)&gt;0,"א'","ב'")</f>
        <v xml:space="preserve"> מקצה 2 - שולחן 2 אדום כניסה א'</v>
      </c>
      <c r="M286" s="204">
        <f>_xlfn.XLOOKUP(L274,TimeTable[מס"ד],TimeTable[שעת הרצה 2])</f>
        <v>0.53472222222222165</v>
      </c>
      <c r="N286" s="31">
        <f t="shared" si="92"/>
        <v>0.53680555555555498</v>
      </c>
      <c r="O286" s="76"/>
      <c r="P286"/>
      <c r="Q286"/>
      <c r="R286"/>
      <c r="S286"/>
      <c r="T286"/>
    </row>
    <row r="287" spans="1:31" ht="19.95" customHeight="1" x14ac:dyDescent="0.65">
      <c r="A287" s="66" t="str">
        <f>_xlfn.XLOOKUP(B274,TimeTable[מס"ד],TimeTable[שולחן הרצה 3])</f>
        <v>5 אדום</v>
      </c>
      <c r="B287" s="30" t="str">
        <f>" מקצה 3 - שולחן "&amp;A287&amp;" כניסה "&amp;IF(COUNTIF('תכנית לפי קבוצות'!$AA$3:$AA$6,A287)&gt;0,"א'","ב'")</f>
        <v xml:space="preserve"> מקצה 3 - שולחן 5 אדום כניסה ב'</v>
      </c>
      <c r="C287" s="204">
        <f>_xlfn.XLOOKUP(B274,TimeTable[מס"ד],TimeTable[שעת הרצה 3])</f>
        <v>0.60069444444444364</v>
      </c>
      <c r="D287" s="31">
        <f t="shared" si="90"/>
        <v>0.60277777777777697</v>
      </c>
      <c r="E287" s="76"/>
      <c r="F287" s="66" t="str">
        <f>_xlfn.XLOOKUP(G274,TimeTable[מס"ד],TimeTable[שולחן הרצה 3])</f>
        <v>3 אדום</v>
      </c>
      <c r="G287" s="30" t="str">
        <f>" מקצה 3 - שולחן "&amp;F287&amp;" כניסה "&amp;IF(COUNTIF('תכנית לפי קבוצות'!$AA$3:$AA$6,F287)&gt;0,"א'","ב'")</f>
        <v xml:space="preserve"> מקצה 3 - שולחן 3 אדום כניסה א'</v>
      </c>
      <c r="H287" s="204">
        <f>_xlfn.XLOOKUP(G274,TimeTable[מס"ד],TimeTable[שעת הרצה 3])</f>
        <v>0.61111111111111027</v>
      </c>
      <c r="I287" s="31">
        <f t="shared" si="91"/>
        <v>0.6131944444444436</v>
      </c>
      <c r="J287" s="76"/>
      <c r="K287" s="66" t="str">
        <f>_xlfn.XLOOKUP(L274,TimeTable[מס"ד],TimeTable[שולחן הרצה 3])</f>
        <v>1 אדום</v>
      </c>
      <c r="L287" s="30" t="str">
        <f>" מקצה 3 - שולחן "&amp;K287&amp;" כניסה "&amp;IF(COUNTIF('תכנית לפי קבוצות'!$AA$3:$AA$6,K287)&gt;0,"א'","ב'")</f>
        <v xml:space="preserve"> מקצה 3 - שולחן 1 אדום כניסה א'</v>
      </c>
      <c r="M287" s="204">
        <f>_xlfn.XLOOKUP(L274,TimeTable[מס"ד],TimeTable[שעת הרצה 3])</f>
        <v>0.62499999999999911</v>
      </c>
      <c r="N287" s="31">
        <f t="shared" si="92"/>
        <v>0.62708333333333244</v>
      </c>
      <c r="O287" s="76"/>
      <c r="P287"/>
      <c r="Q287"/>
      <c r="R287"/>
      <c r="S287"/>
      <c r="T287"/>
    </row>
    <row r="288" spans="1:31" s="69" customFormat="1" ht="19.95" customHeight="1" x14ac:dyDescent="0.65">
      <c r="A288" s="203">
        <f>pits+TIME(2,0,0)</f>
        <v>8.3333333333333329E-2</v>
      </c>
      <c r="B288" s="30" t="s">
        <v>192</v>
      </c>
      <c r="C288" s="204"/>
      <c r="D288" s="31"/>
      <c r="E288" s="75"/>
      <c r="F288" s="203">
        <f>pits+TIME(2,0,0)</f>
        <v>8.3333333333333329E-2</v>
      </c>
      <c r="G288" s="30" t="s">
        <v>192</v>
      </c>
      <c r="H288" s="204"/>
      <c r="I288" s="31"/>
      <c r="J288" s="75"/>
      <c r="K288" s="203">
        <f>pits+TIME(2,0,0)</f>
        <v>8.3333333333333329E-2</v>
      </c>
      <c r="L288" s="30" t="s">
        <v>192</v>
      </c>
      <c r="M288" s="204"/>
      <c r="N288" s="31"/>
      <c r="O288" s="75"/>
      <c r="P288"/>
      <c r="Q288"/>
      <c r="R288"/>
      <c r="S288"/>
      <c r="T288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</row>
    <row r="289" spans="1:31" s="69" customFormat="1" ht="19.95" customHeight="1" x14ac:dyDescent="0.65">
      <c r="A289" s="77" t="str">
        <f>_xlfn.XLOOKUP(B274,TimeTable[מס"ד],TimeTable[שולחן הרצת טורניר])</f>
        <v>6 אדום</v>
      </c>
      <c r="B289" s="30" t="str">
        <f>" טורניר ידידות - שולחן "&amp;A289&amp;" כניסה "&amp;IF(COUNTIF('תכנית לפי קבוצות'!$AA$3:$AA$6,A289)&gt;0,"א'","ב'")&amp;", עם קבוצה "&amp;_xlfn.XLOOKUP(B274,TeamList2[מס"ד],TeamList2[מס'' הקבוצה])</f>
        <v xml:space="preserve"> טורניר ידידות - שולחן 6 אדום כניסה ב', עם קבוצה 2331</v>
      </c>
      <c r="C289" s="204">
        <f>_xlfn.XLOOKUP(_xlfn.XLOOKUP(B274,TeamList[מס"ד],TeamList[מס'' הקבוצה]),Table135[קבוצה],Table135[שעה])</f>
        <v>0.67013888888888884</v>
      </c>
      <c r="D289" s="31">
        <f t="shared" ref="D289" si="93">C289+TIME(0,3,0)</f>
        <v>0.67222222222222217</v>
      </c>
      <c r="E289" s="75"/>
      <c r="F289" s="77" t="str">
        <f>_xlfn.XLOOKUP(G274,TimeTable[מס"ד],TimeTable[שולחן הרצת טורניר])</f>
        <v>7 אדום</v>
      </c>
      <c r="G289" s="30" t="str">
        <f>" טורניר ידידות - שולחן "&amp;F289&amp;" כניסה "&amp;IF(COUNTIF('תכנית לפי קבוצות'!$AA$3:$AA$6,F289)&gt;0,"א'","ב'")&amp;", עם קבוצה "&amp;_xlfn.XLOOKUP(G274,TeamList2[מס"ד],TeamList2[מס'' הקבוצה])</f>
        <v xml:space="preserve"> טורניר ידידות - שולחן 7 אדום כניסה ב', עם קבוצה 1521</v>
      </c>
      <c r="H289" s="204">
        <f>_xlfn.XLOOKUP(_xlfn.XLOOKUP(G274,TeamList[מס"ד],TeamList[מס'' הקבוצה]),Table135[קבוצה],Table135[שעה])</f>
        <v>0.67708333333333326</v>
      </c>
      <c r="I289" s="31">
        <f t="shared" ref="I289" si="94">H289+TIME(0,3,0)</f>
        <v>0.67916666666666659</v>
      </c>
      <c r="J289" s="75"/>
      <c r="K289" s="77" t="str">
        <f>_xlfn.XLOOKUP(L274,TimeTable[מס"ד],TimeTable[שולחן הרצת טורניר])</f>
        <v>8 אדום</v>
      </c>
      <c r="L289" s="30" t="str">
        <f>" טורניר ידידות - שולחן "&amp;K289&amp;" כניסה "&amp;IF(COUNTIF('תכנית לפי קבוצות'!$AA$3:$AA$6,K289)&gt;0,"א'","ב'")&amp;", עם קבוצה "&amp;_xlfn.XLOOKUP(L274,TeamList2[מס"ד],TeamList2[מס'' הקבוצה])</f>
        <v xml:space="preserve"> טורניר ידידות - שולחן 8 אדום כניסה ב', עם קבוצה 1964</v>
      </c>
      <c r="M289" s="204">
        <f>_xlfn.XLOOKUP(_xlfn.XLOOKUP(L274,TeamList[מס"ד],TeamList[מס'' הקבוצה]),Table135[קבוצה],Table135[שעה])</f>
        <v>0.68402777777777768</v>
      </c>
      <c r="N289" s="31">
        <f t="shared" ref="N289" si="95">M289+TIME(0,3,0)</f>
        <v>0.68611111111111101</v>
      </c>
      <c r="O289" s="75"/>
      <c r="P289"/>
      <c r="Q289"/>
      <c r="R289"/>
      <c r="S289"/>
      <c r="T289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</row>
    <row r="290" spans="1:31" s="69" customFormat="1" ht="19.95" customHeight="1" x14ac:dyDescent="0.65">
      <c r="A290" s="66"/>
      <c r="B290" s="139" t="str">
        <f>" "&amp;'תכנית לפי קבוצות'!$I$91</f>
        <v xml:space="preserve"> מסיבוטיקה</v>
      </c>
      <c r="C290" s="204">
        <f>מסיבוטיקה</f>
        <v>0.69444444444444453</v>
      </c>
      <c r="D290" s="31">
        <f>C291-TIME(0,5,0)</f>
        <v>0.70486111111111094</v>
      </c>
      <c r="E290" s="65"/>
      <c r="F290" s="66"/>
      <c r="G290" s="139" t="str">
        <f>" "&amp;'תכנית לפי קבוצות'!$I$91</f>
        <v xml:space="preserve"> מסיבוטיקה</v>
      </c>
      <c r="H290" s="204">
        <f>מסיבוטיקה</f>
        <v>0.69444444444444453</v>
      </c>
      <c r="I290" s="31">
        <f>H291-TIME(0,5,0)</f>
        <v>0.70486111111111094</v>
      </c>
      <c r="J290" s="65"/>
      <c r="K290" s="66"/>
      <c r="L290" s="139" t="str">
        <f>" "&amp;'תכנית לפי קבוצות'!$I$91</f>
        <v xml:space="preserve"> מסיבוטיקה</v>
      </c>
      <c r="M290" s="204">
        <f>מסיבוטיקה</f>
        <v>0.69444444444444453</v>
      </c>
      <c r="N290" s="31">
        <f>M291-TIME(0,5,0)</f>
        <v>0.70486111111111094</v>
      </c>
      <c r="O290" s="65"/>
      <c r="P290"/>
      <c r="Q290"/>
      <c r="R290"/>
      <c r="S290"/>
      <c r="T290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</row>
    <row r="291" spans="1:31" s="69" customFormat="1" ht="19.95" customHeight="1" thickBot="1" x14ac:dyDescent="0.8">
      <c r="A291" s="66"/>
      <c r="B291" s="70" t="s">
        <v>114</v>
      </c>
      <c r="C291" s="208">
        <f>סיום</f>
        <v>0.70833333333333315</v>
      </c>
      <c r="D291" s="209">
        <f>_xlfn.XLOOKUP(N,break_scheduler['# of teams],break_scheduler[END])</f>
        <v>0.73958333333333315</v>
      </c>
      <c r="E291" s="65"/>
      <c r="F291" s="66"/>
      <c r="G291" s="70" t="s">
        <v>114</v>
      </c>
      <c r="H291" s="208">
        <f>סיום</f>
        <v>0.70833333333333315</v>
      </c>
      <c r="I291" s="209">
        <f>_xlfn.XLOOKUP(N,break_scheduler['# of teams],break_scheduler[END])</f>
        <v>0.73958333333333315</v>
      </c>
      <c r="J291" s="65"/>
      <c r="K291" s="66"/>
      <c r="L291" s="70" t="s">
        <v>114</v>
      </c>
      <c r="M291" s="208">
        <f>סיום</f>
        <v>0.70833333333333315</v>
      </c>
      <c r="N291" s="209">
        <f>_xlfn.XLOOKUP(N,break_scheduler['# of teams],break_scheduler[END])</f>
        <v>0.73958333333333315</v>
      </c>
      <c r="O291" s="65"/>
      <c r="P291"/>
      <c r="Q291"/>
      <c r="R291"/>
      <c r="S291"/>
      <c r="T291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</row>
    <row r="292" spans="1:31" s="69" customFormat="1" ht="43.9" customHeight="1" x14ac:dyDescent="0.65">
      <c r="A292" s="210" t="s">
        <v>186</v>
      </c>
      <c r="B292" s="62"/>
      <c r="C292" s="62"/>
      <c r="D292" s="62"/>
      <c r="E292" s="62"/>
      <c r="F292" s="210" t="s">
        <v>186</v>
      </c>
      <c r="G292" s="62"/>
      <c r="H292" s="62"/>
      <c r="I292" s="62"/>
      <c r="J292" s="62"/>
      <c r="K292" s="210" t="s">
        <v>186</v>
      </c>
      <c r="L292" s="62"/>
      <c r="M292" s="62"/>
      <c r="N292" s="62"/>
      <c r="O292" s="62"/>
      <c r="P292"/>
      <c r="Q292"/>
      <c r="R292"/>
      <c r="S292"/>
      <c r="T292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</row>
    <row r="293" spans="1:31" s="69" customFormat="1" ht="19.95" customHeight="1" x14ac:dyDescent="0.65">
      <c r="A293" s="278" t="s">
        <v>187</v>
      </c>
      <c r="B293" s="278"/>
      <c r="C293" s="278"/>
      <c r="D293" s="278"/>
      <c r="E293" s="278"/>
      <c r="F293" s="278" t="s">
        <v>187</v>
      </c>
      <c r="G293" s="278"/>
      <c r="H293" s="278"/>
      <c r="I293" s="278"/>
      <c r="J293" s="278"/>
      <c r="K293" s="278" t="s">
        <v>187</v>
      </c>
      <c r="L293" s="278"/>
      <c r="M293" s="278"/>
      <c r="N293" s="278"/>
      <c r="O293" s="278"/>
      <c r="P293"/>
      <c r="Q293"/>
      <c r="R293"/>
      <c r="S293"/>
      <c r="T293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</row>
    <row r="294" spans="1:31" s="69" customFormat="1" ht="19.95" customHeight="1" x14ac:dyDescent="0.65">
      <c r="A294" s="279" t="s">
        <v>37</v>
      </c>
      <c r="B294" s="279"/>
      <c r="C294" s="279"/>
      <c r="D294" s="279"/>
      <c r="E294" s="279"/>
      <c r="F294" s="279" t="s">
        <v>37</v>
      </c>
      <c r="G294" s="279"/>
      <c r="H294" s="279"/>
      <c r="I294" s="279"/>
      <c r="J294" s="279"/>
      <c r="K294" s="279" t="s">
        <v>37</v>
      </c>
      <c r="L294" s="279"/>
      <c r="M294" s="279"/>
      <c r="N294" s="279"/>
      <c r="O294" s="279"/>
      <c r="P294"/>
      <c r="Q294"/>
      <c r="R294"/>
      <c r="S294"/>
      <c r="T294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</row>
    <row r="295" spans="1:31" ht="14.25" x14ac:dyDescent="0.65">
      <c r="P295"/>
      <c r="Q295"/>
      <c r="R295"/>
      <c r="S295"/>
      <c r="T295"/>
    </row>
  </sheetData>
  <mergeCells count="144">
    <mergeCell ref="B280:D280"/>
    <mergeCell ref="B28:D28"/>
    <mergeCell ref="B49:D49"/>
    <mergeCell ref="B70:D70"/>
    <mergeCell ref="B91:D91"/>
    <mergeCell ref="B112:D112"/>
    <mergeCell ref="B133:D133"/>
    <mergeCell ref="B154:D154"/>
    <mergeCell ref="B175:D175"/>
    <mergeCell ref="B196:D196"/>
    <mergeCell ref="B217:D217"/>
    <mergeCell ref="B238:D238"/>
    <mergeCell ref="B259:D259"/>
    <mergeCell ref="A42:E42"/>
    <mergeCell ref="A41:E41"/>
    <mergeCell ref="A84:E84"/>
    <mergeCell ref="A252:E252"/>
    <mergeCell ref="A272:E272"/>
    <mergeCell ref="A273:E273"/>
    <mergeCell ref="B7:D7"/>
    <mergeCell ref="F230:J230"/>
    <mergeCell ref="K230:O230"/>
    <mergeCell ref="F231:J231"/>
    <mergeCell ref="K231:O231"/>
    <mergeCell ref="G238:I238"/>
    <mergeCell ref="L238:N238"/>
    <mergeCell ref="A230:E230"/>
    <mergeCell ref="G196:I196"/>
    <mergeCell ref="L196:N196"/>
    <mergeCell ref="F209:J209"/>
    <mergeCell ref="K209:O209"/>
    <mergeCell ref="A210:E210"/>
    <mergeCell ref="A231:E231"/>
    <mergeCell ref="F210:J210"/>
    <mergeCell ref="K210:O210"/>
    <mergeCell ref="G217:I217"/>
    <mergeCell ref="L217:N217"/>
    <mergeCell ref="K125:O125"/>
    <mergeCell ref="K42:O42"/>
    <mergeCell ref="K41:O41"/>
    <mergeCell ref="F126:J126"/>
    <mergeCell ref="F42:J42"/>
    <mergeCell ref="F41:J41"/>
    <mergeCell ref="F83:J83"/>
    <mergeCell ref="K83:O83"/>
    <mergeCell ref="G70:I70"/>
    <mergeCell ref="L70:N70"/>
    <mergeCell ref="F84:J84"/>
    <mergeCell ref="K84:O84"/>
    <mergeCell ref="A62:E62"/>
    <mergeCell ref="A83:E83"/>
    <mergeCell ref="A63:E63"/>
    <mergeCell ref="F62:J62"/>
    <mergeCell ref="F293:J293"/>
    <mergeCell ref="K293:O293"/>
    <mergeCell ref="F294:J294"/>
    <mergeCell ref="K294:O294"/>
    <mergeCell ref="F252:J252"/>
    <mergeCell ref="K252:O252"/>
    <mergeCell ref="G259:I259"/>
    <mergeCell ref="L259:N259"/>
    <mergeCell ref="F272:J272"/>
    <mergeCell ref="K272:O272"/>
    <mergeCell ref="F273:J273"/>
    <mergeCell ref="K273:O273"/>
    <mergeCell ref="G280:I280"/>
    <mergeCell ref="L280:N280"/>
    <mergeCell ref="A293:E293"/>
    <mergeCell ref="A294:E294"/>
    <mergeCell ref="A209:E209"/>
    <mergeCell ref="L7:N7"/>
    <mergeCell ref="A20:E20"/>
    <mergeCell ref="F21:J21"/>
    <mergeCell ref="K21:O21"/>
    <mergeCell ref="A21:E21"/>
    <mergeCell ref="F20:J20"/>
    <mergeCell ref="K20:O20"/>
    <mergeCell ref="G28:I28"/>
    <mergeCell ref="L28:N28"/>
    <mergeCell ref="G7:I7"/>
    <mergeCell ref="K62:O62"/>
    <mergeCell ref="G49:I49"/>
    <mergeCell ref="L49:N49"/>
    <mergeCell ref="F63:J63"/>
    <mergeCell ref="K63:O63"/>
    <mergeCell ref="F168:J168"/>
    <mergeCell ref="A189:E189"/>
    <mergeCell ref="A105:E105"/>
    <mergeCell ref="F104:J104"/>
    <mergeCell ref="K104:O104"/>
    <mergeCell ref="G91:I91"/>
    <mergeCell ref="L91:N91"/>
    <mergeCell ref="A104:E104"/>
    <mergeCell ref="F105:J105"/>
    <mergeCell ref="K105:O105"/>
    <mergeCell ref="G133:I133"/>
    <mergeCell ref="L133:N133"/>
    <mergeCell ref="F147:J147"/>
    <mergeCell ref="K147:O147"/>
    <mergeCell ref="G154:I154"/>
    <mergeCell ref="L154:N154"/>
    <mergeCell ref="G112:I112"/>
    <mergeCell ref="L112:N112"/>
    <mergeCell ref="K168:O168"/>
    <mergeCell ref="F188:J188"/>
    <mergeCell ref="K188:O188"/>
    <mergeCell ref="F189:J189"/>
    <mergeCell ref="K189:O189"/>
    <mergeCell ref="K126:O126"/>
    <mergeCell ref="F125:J125"/>
    <mergeCell ref="A251:E251"/>
    <mergeCell ref="F251:J251"/>
    <mergeCell ref="K251:O251"/>
    <mergeCell ref="A126:E126"/>
    <mergeCell ref="A125:E125"/>
    <mergeCell ref="A146:E146"/>
    <mergeCell ref="A188:E188"/>
    <mergeCell ref="A147:E147"/>
    <mergeCell ref="F146:J146"/>
    <mergeCell ref="K146:O146"/>
    <mergeCell ref="G175:I175"/>
    <mergeCell ref="L175:N175"/>
    <mergeCell ref="A168:E168"/>
    <mergeCell ref="F167:J167"/>
    <mergeCell ref="K167:O167"/>
    <mergeCell ref="A167:E167"/>
    <mergeCell ref="Q7:S7"/>
    <mergeCell ref="P20:T20"/>
    <mergeCell ref="P21:T21"/>
    <mergeCell ref="Q28:S28"/>
    <mergeCell ref="P41:T41"/>
    <mergeCell ref="P42:T42"/>
    <mergeCell ref="Q49:S49"/>
    <mergeCell ref="P62:T62"/>
    <mergeCell ref="P63:T63"/>
    <mergeCell ref="Q70:S70"/>
    <mergeCell ref="P83:T83"/>
    <mergeCell ref="P84:T84"/>
    <mergeCell ref="Q91:S91"/>
    <mergeCell ref="P104:T104"/>
    <mergeCell ref="P105:T105"/>
    <mergeCell ref="Q112:S112"/>
    <mergeCell ref="P125:T125"/>
    <mergeCell ref="P126:T126"/>
  </mergeCells>
  <printOptions horizontalCentered="1" verticalCentered="1"/>
  <pageMargins left="0.31496062992125984" right="0.31496062992125984" top="0.27559055118110237" bottom="0.39370078740157483" header="0.19685039370078741" footer="0.31496062992125984"/>
  <pageSetup paperSize="11" scale="80" orientation="landscape" r:id="rId1"/>
  <rowBreaks count="18" manualBreakCount="18">
    <brk id="21" max="11" man="1"/>
    <brk id="21" min="15" max="18" man="1"/>
    <brk id="42" max="11" man="1"/>
    <brk id="42" min="15" max="18" man="1"/>
    <brk id="63" max="11" man="1"/>
    <brk id="63" min="15" max="18" man="1"/>
    <brk id="84" max="11" man="1"/>
    <brk id="84" min="15" max="18" man="1"/>
    <brk id="105" max="11" man="1"/>
    <brk id="105" min="15" max="18" man="1"/>
    <brk id="126" max="11" man="1"/>
    <brk id="147" max="11" man="1"/>
    <brk id="168" max="11" man="1"/>
    <brk id="189" max="11" man="1"/>
    <brk id="210" max="11" man="1"/>
    <brk id="231" max="11" man="1"/>
    <brk id="252" max="11" man="1"/>
    <brk id="273" max="11" man="1"/>
  </rowBreaks>
  <colBreaks count="3" manualBreakCount="3">
    <brk id="5" max="1048575" man="1"/>
    <brk id="10" max="1048575" man="1"/>
    <brk id="15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18A82-07B0-4445-A8D6-304D2B417BBD}">
  <sheetPr codeName="Sheet7"/>
  <dimension ref="A1:L124"/>
  <sheetViews>
    <sheetView tabSelected="1" topLeftCell="A19" workbookViewId="0">
      <selection activeCell="A10" sqref="A10"/>
    </sheetView>
  </sheetViews>
  <sheetFormatPr defaultRowHeight="14.25" x14ac:dyDescent="0.65"/>
  <cols>
    <col min="1" max="1" width="37.20703125" customWidth="1"/>
    <col min="2" max="2" width="12.4140625" customWidth="1"/>
    <col min="3" max="3" width="15" customWidth="1"/>
    <col min="4" max="11" width="10.2890625" style="3" customWidth="1"/>
  </cols>
  <sheetData>
    <row r="1" spans="1:3" x14ac:dyDescent="0.65">
      <c r="A1" t="s">
        <v>41</v>
      </c>
      <c r="B1">
        <v>1</v>
      </c>
    </row>
    <row r="2" spans="1:3" x14ac:dyDescent="0.65">
      <c r="A2" t="s">
        <v>42</v>
      </c>
      <c r="B2">
        <v>1</v>
      </c>
    </row>
    <row r="3" spans="1:3" x14ac:dyDescent="0.65">
      <c r="A3" t="s">
        <v>43</v>
      </c>
      <c r="B3">
        <f>N</f>
        <v>48</v>
      </c>
    </row>
    <row r="4" spans="1:3" x14ac:dyDescent="0.65">
      <c r="A4">
        <f>'רשימת הקבוצות'!B3</f>
        <v>3163</v>
      </c>
      <c r="B4" t="str">
        <f>'רשימת הקבוצות'!C3</f>
        <v>מקיף</v>
      </c>
      <c r="C4" t="str">
        <f>'רשימת הקבוצות'!D3</f>
        <v>אעבלין</v>
      </c>
    </row>
    <row r="5" spans="1:3" x14ac:dyDescent="0.65">
      <c r="A5">
        <f>'רשימת הקבוצות'!B4</f>
        <v>3180</v>
      </c>
      <c r="B5" t="str">
        <f>'רשימת הקבוצות'!C4</f>
        <v>פלך בנים</v>
      </c>
      <c r="C5" t="str">
        <f>'רשימת הקבוצות'!D4</f>
        <v>ירושלים</v>
      </c>
    </row>
    <row r="6" spans="1:3" x14ac:dyDescent="0.65">
      <c r="A6">
        <f>'רשימת הקבוצות'!B5</f>
        <v>1042</v>
      </c>
      <c r="B6" t="str">
        <f>'רשימת הקבוצות'!C5</f>
        <v>כרמים</v>
      </c>
      <c r="C6" t="str">
        <f>'רשימת הקבוצות'!D5</f>
        <v>בנימינה-גבעת עדה</v>
      </c>
    </row>
    <row r="7" spans="1:3" x14ac:dyDescent="0.65">
      <c r="A7">
        <f>'רשימת הקבוצות'!B6</f>
        <v>1825</v>
      </c>
      <c r="B7" t="str">
        <f>'רשימת הקבוצות'!C6</f>
        <v>אילן רמון</v>
      </c>
      <c r="C7" t="str">
        <f>'רשימת הקבוצות'!D6</f>
        <v>כפר סבא</v>
      </c>
    </row>
    <row r="8" spans="1:3" x14ac:dyDescent="0.65">
      <c r="A8">
        <f>'רשימת הקבוצות'!B7</f>
        <v>3243</v>
      </c>
      <c r="B8" t="str">
        <f>'רשימת הקבוצות'!C7</f>
        <v>לאה גולדברג</v>
      </c>
      <c r="C8" t="str">
        <f>'רשימת הקבוצות'!D7</f>
        <v>נתניה</v>
      </c>
    </row>
    <row r="9" spans="1:3" x14ac:dyDescent="0.65">
      <c r="A9">
        <f>'רשימת הקבוצות'!B8</f>
        <v>2954</v>
      </c>
      <c r="B9" t="str">
        <f>'רשימת הקבוצות'!C8</f>
        <v xml:space="preserve">עתידים </v>
      </c>
      <c r="C9" t="str">
        <f>'רשימת הקבוצות'!D8</f>
        <v>חולון</v>
      </c>
    </row>
    <row r="10" spans="1:3" x14ac:dyDescent="0.65">
      <c r="A10">
        <f>'רשימת הקבוצות'!B9</f>
        <v>2623</v>
      </c>
      <c r="B10" t="str">
        <f>'רשימת הקבוצות'!C9</f>
        <v>גינסבורג</v>
      </c>
      <c r="C10" t="str">
        <f>'רשימת הקבוצות'!D9</f>
        <v>יבנה</v>
      </c>
    </row>
    <row r="11" spans="1:3" x14ac:dyDescent="0.65">
      <c r="A11">
        <f>'רשימת הקבוצות'!B10</f>
        <v>2978</v>
      </c>
      <c r="B11" t="str">
        <f>'רשימת הקבוצות'!C10</f>
        <v xml:space="preserve">אל-קסטל </v>
      </c>
      <c r="C11" t="str">
        <f>'רשימת הקבוצות'!D10</f>
        <v>נצרת</v>
      </c>
    </row>
    <row r="12" spans="1:3" x14ac:dyDescent="0.65">
      <c r="A12">
        <f>'רשימת הקבוצות'!B11</f>
        <v>588</v>
      </c>
      <c r="B12" t="str">
        <f>'רשימת הקבוצות'!C11</f>
        <v xml:space="preserve">אבן סינא </v>
      </c>
      <c r="C12" t="str">
        <f>'רשימת הקבוצות'!D11</f>
        <v>כפר קרע</v>
      </c>
    </row>
    <row r="13" spans="1:3" x14ac:dyDescent="0.65">
      <c r="A13">
        <f>'רשימת הקבוצות'!B12</f>
        <v>1371</v>
      </c>
      <c r="B13" t="str">
        <f>'רשימת הקבוצות'!C12</f>
        <v>אלזהראוי</v>
      </c>
      <c r="C13" t="str">
        <f>'רשימת הקבוצות'!D12</f>
        <v>אכסאל</v>
      </c>
    </row>
    <row r="14" spans="1:3" x14ac:dyDescent="0.65">
      <c r="A14">
        <f>'רשימת הקבוצות'!B13</f>
        <v>3139</v>
      </c>
      <c r="B14" t="str">
        <f>'רשימת הקבוצות'!C13</f>
        <v>ידלין</v>
      </c>
      <c r="C14" t="str">
        <f>'רשימת הקבוצות'!D13</f>
        <v>ראשון לציון</v>
      </c>
    </row>
    <row r="15" spans="1:3" x14ac:dyDescent="0.65">
      <c r="A15">
        <f>'רשימת הקבוצות'!B14</f>
        <v>515</v>
      </c>
      <c r="B15" t="str">
        <f>'רשימת הקבוצות'!C14</f>
        <v xml:space="preserve">אשכול פיס </v>
      </c>
      <c r="C15" t="str">
        <f>'רשימת הקבוצות'!D14</f>
        <v>נס ציונה</v>
      </c>
    </row>
    <row r="16" spans="1:3" x14ac:dyDescent="0.65">
      <c r="A16">
        <f>'רשימת הקבוצות'!B50</f>
        <v>1720</v>
      </c>
      <c r="B16" t="str">
        <f>'רשימת הקבוצות'!C50</f>
        <v>אגרון</v>
      </c>
      <c r="C16" t="str">
        <f>'רשימת הקבוצות'!D50</f>
        <v>ירושלים</v>
      </c>
    </row>
    <row r="17" spans="1:3" x14ac:dyDescent="0.65">
      <c r="A17">
        <f>'רשימת הקבוצות'!B16</f>
        <v>3179</v>
      </c>
      <c r="B17" t="str">
        <f>'רשימת הקבוצות'!C16</f>
        <v>נצח ישראל</v>
      </c>
      <c r="C17" t="str">
        <f>'רשימת הקבוצות'!D16</f>
        <v>בית שמש</v>
      </c>
    </row>
    <row r="18" spans="1:3" x14ac:dyDescent="0.65">
      <c r="A18">
        <f>'רשימת הקבוצות'!B17</f>
        <v>3146</v>
      </c>
      <c r="B18" t="str">
        <f>'רשימת הקבוצות'!C17</f>
        <v>אלבוכארי</v>
      </c>
      <c r="C18" t="str">
        <f>'רשימת הקבוצות'!D17</f>
        <v>עראבה</v>
      </c>
    </row>
    <row r="19" spans="1:3" x14ac:dyDescent="0.65">
      <c r="A19">
        <f>'רשימת הקבוצות'!B18</f>
        <v>2977</v>
      </c>
      <c r="B19" t="str">
        <f>'רשימת הקבוצות'!C18</f>
        <v xml:space="preserve">הנדסאים </v>
      </c>
      <c r="C19" t="str">
        <f>'רשימת הקבוצות'!D18</f>
        <v>הרצליה</v>
      </c>
    </row>
    <row r="20" spans="1:3" x14ac:dyDescent="0.65">
      <c r="A20">
        <f>'רשימת הקבוצות'!B19</f>
        <v>1083</v>
      </c>
      <c r="B20" s="280" t="str">
        <f>'רשימת הקבוצות'!C19</f>
        <v>AGCTeam</v>
      </c>
      <c r="C20" t="str">
        <f>'רשימת הקבוצות'!D19</f>
        <v>אלון הגליל</v>
      </c>
    </row>
    <row r="21" spans="1:3" x14ac:dyDescent="0.65">
      <c r="A21">
        <f>'רשימת הקבוצות'!B20</f>
        <v>1043</v>
      </c>
      <c r="B21" t="str">
        <f>'רשימת הקבוצות'!C20</f>
        <v>עתיד כרמים</v>
      </c>
      <c r="C21" t="str">
        <f>'רשימת הקבוצות'!D20</f>
        <v>בנימינה-גבעת עדה</v>
      </c>
    </row>
    <row r="22" spans="1:3" x14ac:dyDescent="0.65">
      <c r="A22">
        <f>'רשימת הקבוצות'!B21</f>
        <v>341</v>
      </c>
      <c r="B22" t="str">
        <f>'רשימת הקבוצות'!C21</f>
        <v xml:space="preserve">עירוני ד </v>
      </c>
      <c r="C22" t="str">
        <f>'רשימת הקבוצות'!D21</f>
        <v>מודיעין-מכבים-רעות</v>
      </c>
    </row>
    <row r="23" spans="1:3" x14ac:dyDescent="0.65">
      <c r="A23">
        <f>'רשימת הקבוצות'!B22</f>
        <v>2222</v>
      </c>
      <c r="B23" t="str">
        <f>'רשימת הקבוצות'!C22</f>
        <v>אפרתה</v>
      </c>
      <c r="C23" t="str">
        <f>'רשימת הקבוצות'!D22</f>
        <v>ירושלים</v>
      </c>
    </row>
    <row r="24" spans="1:3" x14ac:dyDescent="0.65">
      <c r="A24">
        <f>'רשימת הקבוצות'!B23</f>
        <v>3181</v>
      </c>
      <c r="B24" t="str">
        <f>'רשימת הקבוצות'!C23</f>
        <v>פלך בנים</v>
      </c>
      <c r="C24" t="str">
        <f>'רשימת הקבוצות'!D23</f>
        <v>ירושלים</v>
      </c>
    </row>
    <row r="25" spans="1:3" x14ac:dyDescent="0.65">
      <c r="A25">
        <f>'רשימת הקבוצות'!B24</f>
        <v>3022</v>
      </c>
      <c r="B25" t="str">
        <f>'רשימת הקבוצות'!C24</f>
        <v xml:space="preserve">אברט </v>
      </c>
      <c r="C25" t="str">
        <f>'רשימת הקבוצות'!D24</f>
        <v>חצור הגלילית</v>
      </c>
    </row>
    <row r="26" spans="1:3" x14ac:dyDescent="0.65">
      <c r="A26">
        <f>'רשימת הקבוצות'!B25</f>
        <v>1152</v>
      </c>
      <c r="B26" t="str">
        <f>'רשימת הקבוצות'!C25</f>
        <v>אל זהראא ב</v>
      </c>
      <c r="C26" t="str">
        <f>'רשימת הקבוצות'!D25</f>
        <v>נצרת</v>
      </c>
    </row>
    <row r="27" spans="1:3" x14ac:dyDescent="0.65">
      <c r="A27">
        <f>'רשימת הקבוצות'!B26</f>
        <v>1864</v>
      </c>
      <c r="B27" t="str">
        <f>'רשימת הקבוצות'!C26</f>
        <v>אפרתה</v>
      </c>
      <c r="C27" t="str">
        <f>'רשימת הקבוצות'!D26</f>
        <v>ירושלים</v>
      </c>
    </row>
    <row r="28" spans="1:3" x14ac:dyDescent="0.65">
      <c r="A28">
        <f>'רשימת הקבוצות'!B27</f>
        <v>2840</v>
      </c>
      <c r="B28" t="str">
        <f>'רשימת הקבוצות'!C27</f>
        <v>נצח ישראל</v>
      </c>
      <c r="C28" t="str">
        <f>'רשימת הקבוצות'!D27</f>
        <v>בית שמש</v>
      </c>
    </row>
    <row r="29" spans="1:3" x14ac:dyDescent="0.65">
      <c r="A29">
        <f>'רשימת הקבוצות'!B28</f>
        <v>52</v>
      </c>
      <c r="B29" t="str">
        <f>'רשימת הקבוצות'!C28</f>
        <v xml:space="preserve">הנדסאים </v>
      </c>
      <c r="C29" t="str">
        <f>'רשימת הקבוצות'!D28</f>
        <v>הרצליה</v>
      </c>
    </row>
    <row r="30" spans="1:3" x14ac:dyDescent="0.65">
      <c r="A30">
        <f>'רשימת הקבוצות'!B29</f>
        <v>240</v>
      </c>
      <c r="B30" t="str">
        <f>'רשימת הקבוצות'!C29</f>
        <v xml:space="preserve">קרית נוער </v>
      </c>
      <c r="C30" t="str">
        <f>'רשימת הקבוצות'!D29</f>
        <v>ירושלים</v>
      </c>
    </row>
    <row r="31" spans="1:3" x14ac:dyDescent="0.65">
      <c r="A31">
        <f>'רשימת הקבוצות'!B30</f>
        <v>1697</v>
      </c>
      <c r="B31" t="str">
        <f>'רשימת הקבוצות'!C30</f>
        <v xml:space="preserve">לאורו נלך </v>
      </c>
      <c r="C31" t="str">
        <f>'רשימת הקבוצות'!D30</f>
        <v>בני ברק</v>
      </c>
    </row>
    <row r="32" spans="1:3" x14ac:dyDescent="0.65">
      <c r="A32">
        <f>'רשימת הקבוצות'!B31</f>
        <v>1333</v>
      </c>
      <c r="B32" t="str">
        <f>'רשימת הקבוצות'!C31</f>
        <v>אפרתה</v>
      </c>
      <c r="C32" t="str">
        <f>'רשימת הקבוצות'!D31</f>
        <v>ירושלים</v>
      </c>
    </row>
    <row r="33" spans="1:3" x14ac:dyDescent="0.65">
      <c r="A33">
        <f>'רשימת הקבוצות'!B32</f>
        <v>662</v>
      </c>
      <c r="B33" t="str">
        <f>'רשימת הקבוצות'!C32</f>
        <v xml:space="preserve">אלגדיר </v>
      </c>
      <c r="C33" t="str">
        <f>'רשימת הקבוצות'!D32</f>
        <v>סח׳נין</v>
      </c>
    </row>
    <row r="34" spans="1:3" x14ac:dyDescent="0.65">
      <c r="A34">
        <f>'רשימת הקבוצות'!B33</f>
        <v>1301</v>
      </c>
      <c r="B34" t="str">
        <f>'רשימת הקבוצות'!C33</f>
        <v xml:space="preserve">מרכז מחוננים </v>
      </c>
      <c r="C34" t="str">
        <f>'רשימת הקבוצות'!D33</f>
        <v>עראבה</v>
      </c>
    </row>
    <row r="35" spans="1:3" x14ac:dyDescent="0.65">
      <c r="A35">
        <f>'רשימת הקבוצות'!B34</f>
        <v>3182</v>
      </c>
      <c r="B35" t="str">
        <f>'רשימת הקבוצות'!C34</f>
        <v>בנים</v>
      </c>
      <c r="C35" t="str">
        <f>'רשימת הקבוצות'!D34</f>
        <v>ירושלים</v>
      </c>
    </row>
    <row r="36" spans="1:3" x14ac:dyDescent="0.65">
      <c r="A36">
        <f>'רשימת הקבוצות'!B35</f>
        <v>1324</v>
      </c>
      <c r="B36" t="str">
        <f>'רשימת הקבוצות'!C35</f>
        <v xml:space="preserve">עירוני ד </v>
      </c>
      <c r="C36" t="str">
        <f>'רשימת הקבוצות'!D35</f>
        <v>מודיעין-מכבים-רעות</v>
      </c>
    </row>
    <row r="37" spans="1:3" x14ac:dyDescent="0.65">
      <c r="A37">
        <f>'רשימת הקבוצות'!B36</f>
        <v>2622</v>
      </c>
      <c r="B37" t="str">
        <f>'רשימת הקבוצות'!C36</f>
        <v>גינסבורג</v>
      </c>
      <c r="C37" t="str">
        <f>'רשימת הקבוצות'!D36</f>
        <v>יבנה</v>
      </c>
    </row>
    <row r="38" spans="1:3" x14ac:dyDescent="0.65">
      <c r="A38">
        <f>'רשימת הקבוצות'!B37</f>
        <v>1616</v>
      </c>
      <c r="B38" t="str">
        <f>'רשימת הקבוצות'!C37</f>
        <v>אילן רמון</v>
      </c>
      <c r="C38" t="str">
        <f>'רשימת הקבוצות'!D37</f>
        <v>כפר סבא</v>
      </c>
    </row>
    <row r="39" spans="1:3" x14ac:dyDescent="0.65">
      <c r="A39">
        <f>'רשימת הקבוצות'!B38</f>
        <v>1214</v>
      </c>
      <c r="B39" t="str">
        <f>'רשימת הקבוצות'!C38</f>
        <v>אל זהראא ב</v>
      </c>
      <c r="C39" t="str">
        <f>'רשימת הקבוצות'!D38</f>
        <v>נצרת</v>
      </c>
    </row>
    <row r="40" spans="1:3" x14ac:dyDescent="0.65">
      <c r="A40">
        <f>'רשימת הקבוצות'!B39</f>
        <v>1300</v>
      </c>
      <c r="B40" t="str">
        <f>'רשימת הקבוצות'!C39</f>
        <v xml:space="preserve">מרכז מחוננים </v>
      </c>
      <c r="C40" t="str">
        <f>'רשימת הקבוצות'!D39</f>
        <v>עראבה</v>
      </c>
    </row>
    <row r="41" spans="1:3" x14ac:dyDescent="0.65">
      <c r="A41">
        <f>'רשימת הקבוצות'!B40</f>
        <v>3340</v>
      </c>
      <c r="B41" t="str">
        <f>'רשימת הקבוצות'!C40</f>
        <v xml:space="preserve">עמי אסף </v>
      </c>
      <c r="C41" t="str">
        <f>'רשימת הקבוצות'!D40</f>
        <v>דימונה</v>
      </c>
    </row>
    <row r="42" spans="1:3" x14ac:dyDescent="0.65">
      <c r="A42">
        <f>'רשימת הקבוצות'!B41</f>
        <v>3128</v>
      </c>
      <c r="B42" t="str">
        <f>'רשימת הקבוצות'!C41</f>
        <v xml:space="preserve">נרייה </v>
      </c>
      <c r="C42" t="str">
        <f>'רשימת הקבוצות'!D41</f>
        <v>בית הגדי</v>
      </c>
    </row>
    <row r="43" spans="1:3" x14ac:dyDescent="0.65">
      <c r="A43">
        <f>'רשימת הקבוצות'!B42</f>
        <v>1099</v>
      </c>
      <c r="B43" t="str">
        <f>'רשימת הקבוצות'!C42</f>
        <v>אפרתה</v>
      </c>
      <c r="C43" t="str">
        <f>'רשימת הקבוצות'!D42</f>
        <v>ירושלים</v>
      </c>
    </row>
    <row r="44" spans="1:3" x14ac:dyDescent="0.65">
      <c r="A44">
        <f>'רשימת הקבוצות'!B43</f>
        <v>3294</v>
      </c>
      <c r="B44" t="str">
        <f>'רשימת הקבוצות'!C43</f>
        <v>שלנו</v>
      </c>
      <c r="C44" t="str">
        <f>'רשימת הקבוצות'!D43</f>
        <v>תל מונד</v>
      </c>
    </row>
    <row r="45" spans="1:3" x14ac:dyDescent="0.65">
      <c r="A45">
        <f>'רשימת הקבוצות'!B44</f>
        <v>3184</v>
      </c>
      <c r="B45" t="str">
        <f>'רשימת הקבוצות'!C44</f>
        <v>תיכון דרך</v>
      </c>
      <c r="C45" t="str">
        <f>'רשימת הקבוצות'!D44</f>
        <v>ירושלים</v>
      </c>
    </row>
    <row r="46" spans="1:3" x14ac:dyDescent="0.65">
      <c r="A46">
        <f>'רשימת הקבוצות'!B45</f>
        <v>2748</v>
      </c>
      <c r="B46" t="str">
        <f>'רשימת הקבוצות'!C45</f>
        <v xml:space="preserve">מקיף כוכב </v>
      </c>
      <c r="C46" t="str">
        <f>'רשימת הקבוצות'!D45</f>
        <v>כאוכב אבו אל-היג'א</v>
      </c>
    </row>
    <row r="47" spans="1:3" x14ac:dyDescent="0.65">
      <c r="A47">
        <f>'רשימת הקבוצות'!B46</f>
        <v>1332</v>
      </c>
      <c r="B47" t="str">
        <f>'רשימת הקבוצות'!C46</f>
        <v>אפרתה</v>
      </c>
      <c r="C47" t="str">
        <f>'רשימת הקבוצות'!D46</f>
        <v>ירושלים</v>
      </c>
    </row>
    <row r="48" spans="1:3" x14ac:dyDescent="0.65">
      <c r="A48">
        <f>'רשימת הקבוצות'!B47</f>
        <v>3006</v>
      </c>
      <c r="B48" t="str">
        <f>'רשימת הקבוצות'!C47</f>
        <v xml:space="preserve">כוכב </v>
      </c>
      <c r="C48" t="str">
        <f>'רשימת הקבוצות'!D47</f>
        <v>כאוכב אבו אל-היג'א</v>
      </c>
    </row>
    <row r="49" spans="1:11" x14ac:dyDescent="0.65">
      <c r="A49">
        <f>'רשימת הקבוצות'!B48</f>
        <v>2130</v>
      </c>
      <c r="B49" t="str">
        <f>'רשימת הקבוצות'!C48</f>
        <v xml:space="preserve">צודות </v>
      </c>
      <c r="C49" t="str">
        <f>'רשימת הקבוצות'!D48</f>
        <v>קרית שמונה</v>
      </c>
    </row>
    <row r="50" spans="1:11" x14ac:dyDescent="0.65">
      <c r="A50">
        <f>'רשימת הקבוצות'!B49</f>
        <v>2843</v>
      </c>
      <c r="B50" t="str">
        <f>'רשימת הקבוצות'!C49</f>
        <v xml:space="preserve">בארי </v>
      </c>
      <c r="C50" t="str">
        <f>'רשימת הקבוצות'!D49</f>
        <v>חיפה</v>
      </c>
    </row>
    <row r="51" spans="1:11" x14ac:dyDescent="0.65">
      <c r="A51">
        <f>'רשימת הקבוצות'!B15</f>
        <v>3185</v>
      </c>
      <c r="B51" t="str">
        <f>'רשימת הקבוצות'!C15</f>
        <v>תיכון דרך</v>
      </c>
      <c r="C51" t="str">
        <f>'רשימת הקבוצות'!D15</f>
        <v>ירושלים</v>
      </c>
    </row>
    <row r="52" spans="1:11" x14ac:dyDescent="0.65">
      <c r="A52" t="s">
        <v>42</v>
      </c>
      <c r="B52">
        <v>2</v>
      </c>
    </row>
    <row r="53" spans="1:11" x14ac:dyDescent="0.65">
      <c r="A53" t="s">
        <v>44</v>
      </c>
      <c r="B53">
        <f>RM*3</f>
        <v>36</v>
      </c>
    </row>
    <row r="54" spans="1:11" x14ac:dyDescent="0.65">
      <c r="A54" t="s">
        <v>45</v>
      </c>
      <c r="B54">
        <v>4</v>
      </c>
    </row>
    <row r="55" spans="1:11" x14ac:dyDescent="0.65">
      <c r="A55" t="s">
        <v>46</v>
      </c>
      <c r="B55">
        <v>2</v>
      </c>
    </row>
    <row r="56" spans="1:11" x14ac:dyDescent="0.65">
      <c r="A56" t="s">
        <v>47</v>
      </c>
      <c r="B56">
        <v>2</v>
      </c>
    </row>
    <row r="57" spans="1:11" x14ac:dyDescent="0.65">
      <c r="A57" t="s">
        <v>48</v>
      </c>
      <c r="B57" s="3" t="str">
        <f>_xlfn.XLOOKUP(1,Table_names[מסד],Table_names[שם מלא])</f>
        <v>1 אדום</v>
      </c>
      <c r="C57" s="3" t="str">
        <f>_xlfn.XLOOKUP(2,Table_names[מסד],Table_names[שם מלא])</f>
        <v>2 אדום</v>
      </c>
      <c r="D57" s="3" t="str">
        <f>_xlfn.XLOOKUP(3,Table_names[מסד],Table_names[שם מלא])</f>
        <v>3 אדום</v>
      </c>
      <c r="E57" s="3" t="str">
        <f>_xlfn.XLOOKUP(4,Table_names[מסד],Table_names[שם מלא])</f>
        <v>4 אדום</v>
      </c>
      <c r="F57" s="3" t="str">
        <f>_xlfn.XLOOKUP(5,Table_names[מסד],Table_names[שם מלא])</f>
        <v>5 אדום</v>
      </c>
      <c r="G57" s="3" t="str">
        <f>_xlfn.XLOOKUP(6,Table_names[מסד],Table_names[שם מלא])</f>
        <v>6 אדום</v>
      </c>
      <c r="H57" s="3" t="str">
        <f>_xlfn.XLOOKUP(7,Table_names[מסד],Table_names[שם מלא])</f>
        <v>7 אדום</v>
      </c>
      <c r="I57" s="3" t="str">
        <f>_xlfn.XLOOKUP(8,Table_names[מסד],Table_names[שם מלא])</f>
        <v>8 אדום</v>
      </c>
    </row>
    <row r="58" spans="1:11" x14ac:dyDescent="0.65">
      <c r="A58">
        <f>RM+1</f>
        <v>13</v>
      </c>
      <c r="B58" s="32">
        <f t="shared" ref="B58:B68" si="0">start_round_I+(A58-RM-1)*ORM</f>
        <v>0.44097222222222221</v>
      </c>
      <c r="C58" s="32">
        <f>B58+TIME(0,3,0)</f>
        <v>0.44305555555555554</v>
      </c>
      <c r="D58" s="3">
        <f ca="1">IFERROR(_xlfn.XLOOKUP(OFFSET('תכנית לשופט זירה ראשי'!$E$4,0,0),TeamList[מס"ד],TeamList[מס'' הקבוצה]),"")</f>
        <v>240</v>
      </c>
      <c r="E58" s="3">
        <f ca="1">IFERROR(_xlfn.XLOOKUP(OFFSET('תכנית לשופט זירה ראשי'!$E$4,0,1),TeamList[מס"ד],TeamList[מס'' הקבוצה]),"")</f>
        <v>1333</v>
      </c>
      <c r="F58" s="3">
        <f ca="1">IFERROR(_xlfn.XLOOKUP(OFFSET('תכנית לשופט זירה ראשי'!$E$4,0,2),TeamList[מס"ד],TeamList[מס'' הקבוצה]),"")</f>
        <v>1152</v>
      </c>
      <c r="G58" s="3">
        <f ca="1">IFERROR(_xlfn.XLOOKUP(OFFSET('תכנית לשופט זירה ראשי'!$E$4,0,3),TeamList[מס"ד],TeamList[מס'' הקבוצה]),"")</f>
        <v>2840</v>
      </c>
      <c r="H58" s="3" t="str">
        <f ca="1">IFERROR(_xlfn.XLOOKUP(OFFSET('תכנית לשופט זירה ראשי'!$E$4,0,4),TeamList[מס"ד],TeamList[מס'' הקבוצה]),"")</f>
        <v/>
      </c>
      <c r="I58" s="3" t="str">
        <f ca="1">IFERROR(_xlfn.XLOOKUP(OFFSET('תכנית לשופט זירה ראשי'!$E$4,0,5),TeamList[מס"ד],TeamList[מס'' הקבוצה]),"")</f>
        <v/>
      </c>
      <c r="J58" s="3" t="str">
        <f ca="1">IFERROR(_xlfn.XLOOKUP(OFFSET('תכנית לשופט זירה ראשי'!$E$4,0,6),TeamList[מס"ד],TeamList[מס'' הקבוצה]),"")</f>
        <v/>
      </c>
      <c r="K58" s="3" t="str">
        <f ca="1">IFERROR(_xlfn.XLOOKUP(OFFSET('תכנית לשופט זירה ראשי'!$E$4,0,7),TeamList[מס"ד],TeamList[מס'' הקבוצה]),"")</f>
        <v/>
      </c>
    </row>
    <row r="59" spans="1:11" x14ac:dyDescent="0.65">
      <c r="A59">
        <f>A58+1</f>
        <v>14</v>
      </c>
      <c r="B59" s="32">
        <f t="shared" si="0"/>
        <v>0.44444444444444442</v>
      </c>
      <c r="C59" s="32">
        <f t="shared" ref="C59:C92" si="1">B59+TIME(0,3,0)</f>
        <v>0.44652777777777775</v>
      </c>
      <c r="D59" s="3" t="str">
        <f ca="1">IFERROR(_xlfn.XLOOKUP(OFFSET('תכנית לשופט זירה ראשי'!$E$4,1,0),TeamList[מס"ד],TeamList[מס'' הקבוצה]),"")</f>
        <v/>
      </c>
      <c r="E59" s="3" t="str">
        <f ca="1">IFERROR(_xlfn.XLOOKUP(OFFSET('תכנית לשופט זירה ראשי'!$E$4,1,1),TeamList[מס"ד],TeamList[מס'' הקבוצה]),"")</f>
        <v/>
      </c>
      <c r="F59" s="3" t="str">
        <f ca="1">IFERROR(_xlfn.XLOOKUP(OFFSET('תכנית לשופט זירה ראשי'!$E$4,1,2),TeamList[מס"ד],TeamList[מס'' הקבוצה]),"")</f>
        <v/>
      </c>
      <c r="G59" s="3" t="str">
        <f ca="1">IFERROR(_xlfn.XLOOKUP(OFFSET('תכנית לשופט זירה ראשי'!$E$4,1,3),TeamList[מס"ד],TeamList[מס'' הקבוצה]),"")</f>
        <v/>
      </c>
      <c r="H59" s="3">
        <f ca="1">IFERROR(_xlfn.XLOOKUP(OFFSET('תכנית לשופט זירה ראשי'!$E$4,1,4),TeamList[מס"ד],TeamList[מס'' הקבוצה]),"")</f>
        <v>1697</v>
      </c>
      <c r="I59" s="3">
        <f ca="1">IFERROR(_xlfn.XLOOKUP(OFFSET('תכנית לשופט זירה ראשי'!$E$4,1,5),TeamList[מס"ד],TeamList[מס'' הקבוצה]),"")</f>
        <v>662</v>
      </c>
      <c r="J59" s="3">
        <f ca="1">IFERROR(_xlfn.XLOOKUP(OFFSET('תכנית לשופט זירה ראשי'!$E$4,1,6),TeamList[מס"ד],TeamList[מס'' הקבוצה]),"")</f>
        <v>1864</v>
      </c>
      <c r="K59" s="3">
        <f ca="1">IFERROR(_xlfn.XLOOKUP(OFFSET('תכנית לשופט זירה ראשי'!$E$4,1,7),TeamList[מס"ד],TeamList[מס'' הקבוצה]),"")</f>
        <v>52</v>
      </c>
    </row>
    <row r="60" spans="1:11" x14ac:dyDescent="0.65">
      <c r="A60">
        <f t="shared" ref="A60:A93" si="2">A59+1</f>
        <v>15</v>
      </c>
      <c r="B60" s="32">
        <f t="shared" si="0"/>
        <v>0.44791666666666663</v>
      </c>
      <c r="C60" s="32">
        <f t="shared" si="1"/>
        <v>0.44999999999999996</v>
      </c>
      <c r="D60" s="3">
        <f ca="1">IFERROR(_xlfn.XLOOKUP(OFFSET('תכנית לשופט זירה ראשי'!$E$4,2,0),TeamList[מס"ד],TeamList[מס'' הקבוצה]),"")</f>
        <v>3243</v>
      </c>
      <c r="E60" s="3">
        <f ca="1">IFERROR(_xlfn.XLOOKUP(OFFSET('תכנית לשופט זירה ראשי'!$E$4,2,1),TeamList[מס"ד],TeamList[מס'' הקבוצה]),"")</f>
        <v>1301</v>
      </c>
      <c r="F60" s="3">
        <f ca="1">IFERROR(_xlfn.XLOOKUP(OFFSET('תכנית לשופט זירה ראשי'!$E$4,2,2),TeamList[מס"ד],TeamList[מס'' הקבוצה]),"")</f>
        <v>3163</v>
      </c>
      <c r="G60" s="3">
        <f ca="1">IFERROR(_xlfn.XLOOKUP(OFFSET('תכנית לשופט זירה ראשי'!$E$4,2,3),TeamList[מס"ד],TeamList[מס'' הקבוצה]),"")</f>
        <v>1042</v>
      </c>
      <c r="H60" s="3" t="str">
        <f ca="1">IFERROR(_xlfn.XLOOKUP(OFFSET('תכנית לשופט זירה ראשי'!$E$4,2,4),TeamList[מס"ד],TeamList[מס'' הקבוצה]),"")</f>
        <v/>
      </c>
      <c r="I60" s="3" t="str">
        <f ca="1">IFERROR(_xlfn.XLOOKUP(OFFSET('תכנית לשופט זירה ראשי'!$E$4,2,5),TeamList[מס"ד],TeamList[מס'' הקבוצה]),"")</f>
        <v/>
      </c>
      <c r="J60" s="3" t="str">
        <f ca="1">IFERROR(_xlfn.XLOOKUP(OFFSET('תכנית לשופט זירה ראשי'!$E$4,2,6),TeamList[מס"ד],TeamList[מס'' הקבוצה]),"")</f>
        <v/>
      </c>
      <c r="K60" s="3" t="str">
        <f ca="1">IFERROR(_xlfn.XLOOKUP(OFFSET('תכנית לשופט זירה ראשי'!$E$4,2,7),TeamList[מס"ד],TeamList[מס'' הקבוצה]),"")</f>
        <v/>
      </c>
    </row>
    <row r="61" spans="1:11" x14ac:dyDescent="0.65">
      <c r="A61">
        <f t="shared" si="2"/>
        <v>16</v>
      </c>
      <c r="B61" s="32">
        <f t="shared" si="0"/>
        <v>0.4513888888888889</v>
      </c>
      <c r="C61" s="32">
        <f t="shared" si="1"/>
        <v>0.45347222222222222</v>
      </c>
      <c r="D61" s="3" t="str">
        <f ca="1">IFERROR(_xlfn.XLOOKUP(OFFSET('תכנית לשופט זירה ראשי'!$E$4,3,0),TeamList[מס"ד],TeamList[מס'' הקבוצה]),"")</f>
        <v/>
      </c>
      <c r="E61" s="3" t="str">
        <f ca="1">IFERROR(_xlfn.XLOOKUP(OFFSET('תכנית לשופט זירה ראשי'!$E$4,3,1),TeamList[מס"ד],TeamList[מס'' הקבוצה]),"")</f>
        <v/>
      </c>
      <c r="F61" s="3" t="str">
        <f ca="1">IFERROR(_xlfn.XLOOKUP(OFFSET('תכנית לשופט זירה ראשי'!$E$4,3,2),TeamList[מס"ד],TeamList[מס'' הקבוצה]),"")</f>
        <v/>
      </c>
      <c r="G61" s="3" t="str">
        <f ca="1">IFERROR(_xlfn.XLOOKUP(OFFSET('תכנית לשופט זירה ראשי'!$E$4,3,3),TeamList[מס"ד],TeamList[מס'' הקבוצה]),"")</f>
        <v/>
      </c>
      <c r="H61" s="3">
        <f ca="1">IFERROR(_xlfn.XLOOKUP(OFFSET('תכנית לשופט זירה ראשי'!$E$4,3,4),TeamList[מס"ד],TeamList[מס'' הקבוצה]),"")</f>
        <v>3022</v>
      </c>
      <c r="I61" s="3">
        <f ca="1">IFERROR(_xlfn.XLOOKUP(OFFSET('תכנית לשופט זירה ראשי'!$E$4,3,5),TeamList[מס"ד],TeamList[מס'' הקבוצה]),"")</f>
        <v>3182</v>
      </c>
      <c r="J61" s="3">
        <f ca="1">IFERROR(_xlfn.XLOOKUP(OFFSET('תכנית לשופט זירה ראשי'!$E$4,3,6),TeamList[מס"ד],TeamList[מס'' הקבוצה]),"")</f>
        <v>3180</v>
      </c>
      <c r="K61" s="3">
        <f ca="1">IFERROR(_xlfn.XLOOKUP(OFFSET('תכנית לשופט זירה ראשי'!$E$4,3,7),TeamList[מס"ד],TeamList[מס'' הקבוצה]),"")</f>
        <v>1825</v>
      </c>
    </row>
    <row r="62" spans="1:11" x14ac:dyDescent="0.65">
      <c r="A62">
        <f t="shared" si="2"/>
        <v>17</v>
      </c>
      <c r="B62" s="32">
        <f t="shared" si="0"/>
        <v>0.4548611111111111</v>
      </c>
      <c r="C62" s="32">
        <f t="shared" si="1"/>
        <v>0.45694444444444443</v>
      </c>
      <c r="D62" s="3">
        <f ca="1">IFERROR(_xlfn.XLOOKUP(OFFSET('תכנית לשופט זירה ראשי'!$E$4,4,0),TeamList[מס"ד],TeamList[מס'' הקבוצה]),"")</f>
        <v>1371</v>
      </c>
      <c r="E62" s="3">
        <f ca="1">IFERROR(_xlfn.XLOOKUP(OFFSET('תכנית לשופט זירה ראשי'!$E$4,4,1),TeamList[מס"ד],TeamList[מס'' הקבוצה]),"")</f>
        <v>515</v>
      </c>
      <c r="F62" s="3">
        <f ca="1">IFERROR(_xlfn.XLOOKUP(OFFSET('תכנית לשופט זירה ראשי'!$E$4,4,2),TeamList[מס"ד],TeamList[מס'' הקבוצה]),"")</f>
        <v>2954</v>
      </c>
      <c r="G62" s="3">
        <f ca="1">IFERROR(_xlfn.XLOOKUP(OFFSET('תכנית לשופט זירה ראשי'!$E$4,4,3),TeamList[מס"ד],TeamList[מס'' הקבוצה]),"")</f>
        <v>2978</v>
      </c>
      <c r="H62" s="3" t="str">
        <f ca="1">IFERROR(_xlfn.XLOOKUP(OFFSET('תכנית לשופט זירה ראשי'!$E$4,4,4),TeamList[מס"ד],TeamList[מס'' הקבוצה]),"")</f>
        <v/>
      </c>
      <c r="I62" s="3" t="str">
        <f ca="1">IFERROR(_xlfn.XLOOKUP(OFFSET('תכנית לשופט זירה ראשי'!$E$4,4,5),TeamList[מס"ד],TeamList[מס'' הקבוצה]),"")</f>
        <v/>
      </c>
      <c r="J62" s="3" t="str">
        <f ca="1">IFERROR(_xlfn.XLOOKUP(OFFSET('תכנית לשופט זירה ראשי'!$E$4,4,6),TeamList[מס"ד],TeamList[מס'' הקבוצה]),"")</f>
        <v/>
      </c>
      <c r="K62" s="3" t="str">
        <f ca="1">IFERROR(_xlfn.XLOOKUP(OFFSET('תכנית לשופט זירה ראשי'!$E$4,4,7),TeamList[מס"ד],TeamList[מס'' הקבוצה]),"")</f>
        <v/>
      </c>
    </row>
    <row r="63" spans="1:11" x14ac:dyDescent="0.65">
      <c r="A63">
        <f t="shared" si="2"/>
        <v>18</v>
      </c>
      <c r="B63" s="32">
        <f t="shared" si="0"/>
        <v>0.45833333333333331</v>
      </c>
      <c r="C63" s="32">
        <f t="shared" si="1"/>
        <v>0.46041666666666664</v>
      </c>
      <c r="D63" s="3" t="str">
        <f ca="1">IFERROR(_xlfn.XLOOKUP(OFFSET('תכנית לשופט זירה ראשי'!$E$4,5,0),TeamList[מס"ד],TeamList[מס'' הקבוצה]),"")</f>
        <v/>
      </c>
      <c r="E63" s="3" t="str">
        <f ca="1">IFERROR(_xlfn.XLOOKUP(OFFSET('תכנית לשופט זירה ראשי'!$E$4,5,1),TeamList[מס"ד],TeamList[מס'' הקבוצה]),"")</f>
        <v/>
      </c>
      <c r="F63" s="3" t="str">
        <f ca="1">IFERROR(_xlfn.XLOOKUP(OFFSET('תכנית לשופט זירה ראשי'!$E$4,5,2),TeamList[מס"ד],TeamList[מס'' הקבוצה]),"")</f>
        <v/>
      </c>
      <c r="G63" s="3" t="str">
        <f ca="1">IFERROR(_xlfn.XLOOKUP(OFFSET('תכנית לשופט זירה ראשי'!$E$4,5,3),TeamList[מס"ד],TeamList[מס'' הקבוצה]),"")</f>
        <v/>
      </c>
      <c r="H63" s="3">
        <f ca="1">IFERROR(_xlfn.XLOOKUP(OFFSET('תכנית לשופט זירה ראשי'!$E$4,5,4),TeamList[מס"ד],TeamList[מס'' הקבוצה]),"")</f>
        <v>3139</v>
      </c>
      <c r="I63" s="3">
        <f ca="1">IFERROR(_xlfn.XLOOKUP(OFFSET('תכנית לשופט זירה ראשי'!$E$4,5,5),TeamList[מס"ד],TeamList[מס'' הקבוצה]),"")</f>
        <v>3185</v>
      </c>
      <c r="J63" s="3">
        <f ca="1">IFERROR(_xlfn.XLOOKUP(OFFSET('תכנית לשופט זירה ראשי'!$E$4,5,6),TeamList[מס"ד],TeamList[מס'' הקבוצה]),"")</f>
        <v>2623</v>
      </c>
      <c r="K63" s="3">
        <f ca="1">IFERROR(_xlfn.XLOOKUP(OFFSET('תכנית לשופט זירה ראשי'!$E$4,5,7),TeamList[מס"ד],TeamList[מס'' הקבוצה]),"")</f>
        <v>588</v>
      </c>
    </row>
    <row r="64" spans="1:11" x14ac:dyDescent="0.65">
      <c r="A64">
        <f t="shared" si="2"/>
        <v>19</v>
      </c>
      <c r="B64" s="32">
        <f t="shared" si="0"/>
        <v>0.46180555555555552</v>
      </c>
      <c r="C64" s="32">
        <f t="shared" si="1"/>
        <v>0.46388888888888885</v>
      </c>
      <c r="D64" s="3">
        <f ca="1">IFERROR(_xlfn.XLOOKUP(OFFSET('תכנית לשופט זירה ראשי'!$E$4,6,0),TeamList[מס"ד],TeamList[מס'' הקבוצה]),"")</f>
        <v>1300</v>
      </c>
      <c r="E64" s="3">
        <f ca="1">IFERROR(_xlfn.XLOOKUP(OFFSET('תכנית לשופט זירה ראשי'!$E$4,6,1),TeamList[מס"ד],TeamList[מס'' הקבוצה]),"")</f>
        <v>3128</v>
      </c>
      <c r="F64" s="3">
        <f ca="1">IFERROR(_xlfn.XLOOKUP(OFFSET('תכנית לשופט זירה ראשי'!$E$4,6,2),TeamList[מס"ד],TeamList[מס'' הקבוצה]),"")</f>
        <v>1324</v>
      </c>
      <c r="G64" s="3">
        <f ca="1">IFERROR(_xlfn.XLOOKUP(OFFSET('תכנית לשופט זירה ראשי'!$E$4,6,3),TeamList[מס"ד],TeamList[מס'' הקבוצה]),"")</f>
        <v>1616</v>
      </c>
      <c r="H64" s="3" t="str">
        <f ca="1">IFERROR(_xlfn.XLOOKUP(OFFSET('תכנית לשופט זירה ראשי'!$E$4,6,4),TeamList[מס"ד],TeamList[מס'' הקבוצה]),"")</f>
        <v/>
      </c>
      <c r="I64" s="3" t="str">
        <f ca="1">IFERROR(_xlfn.XLOOKUP(OFFSET('תכנית לשופט זירה ראשי'!$E$4,6,5),TeamList[מס"ד],TeamList[מס'' הקבוצה]),"")</f>
        <v/>
      </c>
      <c r="J64" s="3" t="str">
        <f ca="1">IFERROR(_xlfn.XLOOKUP(OFFSET('תכנית לשופט זירה ראשי'!$E$4,6,6),TeamList[מס"ד],TeamList[מס'' הקבוצה]),"")</f>
        <v/>
      </c>
      <c r="K64" s="3" t="str">
        <f ca="1">IFERROR(_xlfn.XLOOKUP(OFFSET('תכנית לשופט זירה ראשי'!$E$4,6,7),TeamList[מס"ד],TeamList[מס'' הקבוצה]),"")</f>
        <v/>
      </c>
    </row>
    <row r="65" spans="1:11" x14ac:dyDescent="0.65">
      <c r="A65">
        <f t="shared" si="2"/>
        <v>20</v>
      </c>
      <c r="B65" s="32">
        <f t="shared" si="0"/>
        <v>0.46527777777777779</v>
      </c>
      <c r="C65" s="32">
        <f t="shared" si="1"/>
        <v>0.46736111111111112</v>
      </c>
      <c r="D65" s="3" t="str">
        <f ca="1">IFERROR(_xlfn.XLOOKUP(OFFSET('תכנית לשופט זירה ראשי'!$E$4,7,0),TeamList[מס"ד],TeamList[מס'' הקבוצה]),"")</f>
        <v/>
      </c>
      <c r="E65" s="3" t="str">
        <f ca="1">IFERROR(_xlfn.XLOOKUP(OFFSET('תכנית לשופט זירה ראשי'!$E$4,7,1),TeamList[מס"ד],TeamList[מס'' הקבוצה]),"")</f>
        <v/>
      </c>
      <c r="F65" s="3" t="str">
        <f ca="1">IFERROR(_xlfn.XLOOKUP(OFFSET('תכנית לשופט זירה ראשי'!$E$4,7,2),TeamList[מס"ד],TeamList[מס'' הקבוצה]),"")</f>
        <v/>
      </c>
      <c r="G65" s="3" t="str">
        <f ca="1">IFERROR(_xlfn.XLOOKUP(OFFSET('תכנית לשופט זירה ראשי'!$E$4,7,3),TeamList[מס"ד],TeamList[מס'' הקבוצה]),"")</f>
        <v/>
      </c>
      <c r="H65" s="3">
        <f ca="1">IFERROR(_xlfn.XLOOKUP(OFFSET('תכנית לשופט זירה ראשי'!$E$4,7,4),TeamList[מס"ד],TeamList[מס'' הקבוצה]),"")</f>
        <v>3340</v>
      </c>
      <c r="I65" s="3">
        <f ca="1">IFERROR(_xlfn.XLOOKUP(OFFSET('תכנית לשופט זירה ראשי'!$E$4,7,5),TeamList[מס"ד],TeamList[מס'' הקבוצה]),"")</f>
        <v>1099</v>
      </c>
      <c r="J65" s="3">
        <f ca="1">IFERROR(_xlfn.XLOOKUP(OFFSET('תכנית לשופט זירה ראשי'!$E$4,7,6),TeamList[מס"ד],TeamList[מס'' הקבוצה]),"")</f>
        <v>2622</v>
      </c>
      <c r="K65" s="3">
        <f ca="1">IFERROR(_xlfn.XLOOKUP(OFFSET('תכנית לשופט זירה ראשי'!$E$4,7,7),TeamList[מס"ד],TeamList[מס'' הקבוצה]),"")</f>
        <v>1214</v>
      </c>
    </row>
    <row r="66" spans="1:11" x14ac:dyDescent="0.65">
      <c r="A66">
        <f t="shared" si="2"/>
        <v>21</v>
      </c>
      <c r="B66" s="32">
        <f t="shared" si="0"/>
        <v>0.46875</v>
      </c>
      <c r="C66" s="32">
        <f t="shared" si="1"/>
        <v>0.47083333333333333</v>
      </c>
      <c r="D66" s="3">
        <f ca="1">IFERROR(_xlfn.XLOOKUP(OFFSET('תכנית לשופט זירה ראשי'!$E$4,8,0),TeamList[מס"ד],TeamList[מס'' הקבוצה]),"")</f>
        <v>3006</v>
      </c>
      <c r="E66" s="3">
        <f ca="1">IFERROR(_xlfn.XLOOKUP(OFFSET('תכנית לשופט זירה ראשי'!$E$4,8,1),TeamList[מס"ד],TeamList[מס'' הקבוצה]),"")</f>
        <v>2843</v>
      </c>
      <c r="F66" s="3">
        <f ca="1">IFERROR(_xlfn.XLOOKUP(OFFSET('תכנית לשופט זירה ראשי'!$E$4,8,2),TeamList[מס"ד],TeamList[מס'' הקבוצה]),"")</f>
        <v>3294</v>
      </c>
      <c r="G66" s="3">
        <f ca="1">IFERROR(_xlfn.XLOOKUP(OFFSET('תכנית לשופט זירה ראשי'!$E$4,8,3),TeamList[מס"ד],TeamList[מס'' הקבוצה]),"")</f>
        <v>2748</v>
      </c>
      <c r="H66" s="3" t="str">
        <f ca="1">IFERROR(_xlfn.XLOOKUP(OFFSET('תכנית לשופט זירה ראשי'!$E$4,8,4),TeamList[מס"ד],TeamList[מס'' הקבוצה]),"")</f>
        <v/>
      </c>
      <c r="I66" s="3" t="str">
        <f ca="1">IFERROR(_xlfn.XLOOKUP(OFFSET('תכנית לשופט זירה ראשי'!$E$4,8,5),TeamList[מס"ד],TeamList[מס'' הקבוצה]),"")</f>
        <v/>
      </c>
      <c r="J66" s="3" t="str">
        <f ca="1">IFERROR(_xlfn.XLOOKUP(OFFSET('תכנית לשופט זירה ראשי'!$E$4,8,6),TeamList[מס"ד],TeamList[מס'' הקבוצה]),"")</f>
        <v/>
      </c>
      <c r="K66" s="3" t="str">
        <f ca="1">IFERROR(_xlfn.XLOOKUP(OFFSET('תכנית לשופט זירה ראשי'!$E$4,8,7),TeamList[מס"ד],TeamList[מס'' הקבוצה]),"")</f>
        <v/>
      </c>
    </row>
    <row r="67" spans="1:11" x14ac:dyDescent="0.65">
      <c r="A67">
        <f t="shared" si="2"/>
        <v>22</v>
      </c>
      <c r="B67" s="32">
        <f t="shared" si="0"/>
        <v>0.47222222222222221</v>
      </c>
      <c r="C67" s="32">
        <f t="shared" si="1"/>
        <v>0.47430555555555554</v>
      </c>
      <c r="D67" s="3" t="str">
        <f ca="1">IFERROR(_xlfn.XLOOKUP(OFFSET('תכנית לשופט זירה ראשי'!$E$4,9,0),TeamList[מס"ד],TeamList[מס'' הקבוצה]),"")</f>
        <v/>
      </c>
      <c r="E67" s="3" t="str">
        <f ca="1">IFERROR(_xlfn.XLOOKUP(OFFSET('תכנית לשופט זירה ראשי'!$E$4,9,1),TeamList[מס"ד],TeamList[מס'' הקבוצה]),"")</f>
        <v/>
      </c>
      <c r="F67" s="3" t="str">
        <f ca="1">IFERROR(_xlfn.XLOOKUP(OFFSET('תכנית לשופט זירה ראשי'!$E$4,9,2),TeamList[מס"ד],TeamList[מס'' הקבוצה]),"")</f>
        <v/>
      </c>
      <c r="G67" s="3" t="str">
        <f ca="1">IFERROR(_xlfn.XLOOKUP(OFFSET('תכנית לשופט זירה ראשי'!$E$4,9,3),TeamList[מס"ד],TeamList[מס'' הקבוצה]),"")</f>
        <v/>
      </c>
      <c r="H67" s="3">
        <f ca="1">IFERROR(_xlfn.XLOOKUP(OFFSET('תכנית לשופט זירה ראשי'!$E$4,9,4),TeamList[מס"ד],TeamList[מס'' הקבוצה]),"")</f>
        <v>2130</v>
      </c>
      <c r="I67" s="3">
        <f ca="1">IFERROR(_xlfn.XLOOKUP(OFFSET('תכנית לשופט זירה ראשי'!$E$4,9,5),TeamList[מס"ד],TeamList[מס'' הקבוצה]),"")</f>
        <v>1720</v>
      </c>
      <c r="J67" s="3">
        <f ca="1">IFERROR(_xlfn.XLOOKUP(OFFSET('תכנית לשופט זירה ראשי'!$E$4,9,6),TeamList[מס"ד],TeamList[מס'' הקבוצה]),"")</f>
        <v>3184</v>
      </c>
      <c r="K67" s="3">
        <f ca="1">IFERROR(_xlfn.XLOOKUP(OFFSET('תכנית לשופט זירה ראשי'!$E$4,9,7),TeamList[מס"ד],TeamList[מס'' הקבוצה]),"")</f>
        <v>1332</v>
      </c>
    </row>
    <row r="68" spans="1:11" x14ac:dyDescent="0.65">
      <c r="A68">
        <f t="shared" si="2"/>
        <v>23</v>
      </c>
      <c r="B68" s="32">
        <f t="shared" si="0"/>
        <v>0.47569444444444442</v>
      </c>
      <c r="C68" s="32">
        <f t="shared" si="1"/>
        <v>0.47777777777777775</v>
      </c>
      <c r="D68" s="3">
        <f ca="1">IFERROR(_xlfn.XLOOKUP(OFFSET('תכנית לשופט זירה ראשי'!$E$4,10,0),TeamList[מס"ד],TeamList[מס'' הקבוצה]),"")</f>
        <v>1043</v>
      </c>
      <c r="E68" s="3">
        <f ca="1">IFERROR(_xlfn.XLOOKUP(OFFSET('תכנית לשופט זירה ראשי'!$E$4,10,1),TeamList[מס"ד],TeamList[מס'' הקבוצה]),"")</f>
        <v>2222</v>
      </c>
      <c r="F68" s="3">
        <f ca="1">IFERROR(_xlfn.XLOOKUP(OFFSET('תכנית לשופט זירה ראשי'!$E$4,10,2),TeamList[מס"ד],TeamList[מס'' הקבוצה]),"")</f>
        <v>3179</v>
      </c>
      <c r="G68" s="3">
        <f ca="1">IFERROR(_xlfn.XLOOKUP(OFFSET('תכנית לשופט זירה ראשי'!$E$4,10,3),TeamList[מס"ד],TeamList[מס'' הקבוצה]),"")</f>
        <v>2977</v>
      </c>
      <c r="H68" s="3" t="str">
        <f ca="1">IFERROR(_xlfn.XLOOKUP(OFFSET('תכנית לשופט זירה ראשי'!$E$4,10,4),TeamList[מס"ד],TeamList[מס'' הקבוצה]),"")</f>
        <v/>
      </c>
      <c r="I68" s="3" t="str">
        <f ca="1">IFERROR(_xlfn.XLOOKUP(OFFSET('תכנית לשופט זירה ראשי'!$E$4,10,5),TeamList[מס"ד],TeamList[מס'' הקבוצה]),"")</f>
        <v/>
      </c>
      <c r="J68" s="3" t="str">
        <f ca="1">IFERROR(_xlfn.XLOOKUP(OFFSET('תכנית לשופט זירה ראשי'!$E$4,10,6),TeamList[מס"ד],TeamList[מס'' הקבוצה]),"")</f>
        <v/>
      </c>
      <c r="K68" s="3" t="str">
        <f ca="1">IFERROR(_xlfn.XLOOKUP(OFFSET('תכנית לשופט זירה ראשי'!$E$4,10,7),TeamList[מס"ד],TeamList[מס'' הקבוצה]),"")</f>
        <v/>
      </c>
    </row>
    <row r="69" spans="1:11" x14ac:dyDescent="0.65">
      <c r="A69">
        <f t="shared" si="2"/>
        <v>24</v>
      </c>
      <c r="B69" s="32">
        <f>start_round_I+(A69-RM-1)*ORM</f>
        <v>0.47916666666666663</v>
      </c>
      <c r="C69" s="32">
        <f>B69+TIME(0,3,0)</f>
        <v>0.48124999999999996</v>
      </c>
      <c r="D69" s="3" t="str">
        <f ca="1">IFERROR(_xlfn.XLOOKUP(OFFSET('תכנית לשופט זירה ראשי'!$E$4,11,0),TeamList[מס"ד],TeamList[מס'' הקבוצה]),"")</f>
        <v/>
      </c>
      <c r="E69" s="3" t="str">
        <f ca="1">IFERROR(_xlfn.XLOOKUP(OFFSET('תכנית לשופט זירה ראשי'!$E$4,11,1),TeamList[מס"ד],TeamList[מס'' הקבוצה]),"")</f>
        <v/>
      </c>
      <c r="F69" s="3" t="str">
        <f ca="1">IFERROR(_xlfn.XLOOKUP(OFFSET('תכנית לשופט זירה ראשי'!$E$4,11,2),TeamList[מס"ד],TeamList[מס'' הקבוצה]),"")</f>
        <v/>
      </c>
      <c r="G69" s="3" t="str">
        <f ca="1">IFERROR(_xlfn.XLOOKUP(OFFSET('תכנית לשופט זירה ראשי'!$E$4,11,3),TeamList[מס"ד],TeamList[מס'' הקבוצה]),"")</f>
        <v/>
      </c>
      <c r="H69" s="3">
        <f ca="1">IFERROR(_xlfn.XLOOKUP(OFFSET('תכנית לשופט זירה ראשי'!$E$4,11,4),TeamList[מס"ד],TeamList[מס'' הקבוצה]),"")</f>
        <v>341</v>
      </c>
      <c r="I69" s="3">
        <f ca="1">IFERROR(_xlfn.XLOOKUP(OFFSET('תכנית לשופט זירה ראשי'!$E$4,11,5),TeamList[מס"ד],TeamList[מס'' הקבוצה]),"")</f>
        <v>3181</v>
      </c>
      <c r="J69" s="3">
        <f ca="1">IFERROR(_xlfn.XLOOKUP(OFFSET('תכנית לשופט זירה ראשי'!$E$4,11,6),TeamList[מס"ד],TeamList[מס'' הקבוצה]),"")</f>
        <v>3146</v>
      </c>
      <c r="K69" s="3">
        <f ca="1">IFERROR(_xlfn.XLOOKUP(OFFSET('תכנית לשופט זירה ראשי'!$E$4,11,7),TeamList[מס"ד],TeamList[מס'' הקבוצה]),"")</f>
        <v>1083</v>
      </c>
    </row>
    <row r="70" spans="1:11" x14ac:dyDescent="0.65">
      <c r="A70" s="44">
        <f>RM*2+1</f>
        <v>25</v>
      </c>
      <c r="B70" s="45">
        <f t="shared" ref="B70:B80" si="3">start_round_II+(A70-RM*2-1)*ORM</f>
        <v>0.51388888888888884</v>
      </c>
      <c r="C70" s="45">
        <f t="shared" si="1"/>
        <v>0.51597222222222217</v>
      </c>
      <c r="D70" s="46">
        <f ca="1">IFERROR(_xlfn.XLOOKUP(OFFSET('תכנית לשופט זירה ראשי'!$E$18,0,0),TeamList[מס"ד],TeamList[מס'' הקבוצה]),"")</f>
        <v>1371</v>
      </c>
      <c r="E70" s="46">
        <f ca="1">IFERROR(_xlfn.XLOOKUP(OFFSET('תכנית לשופט זירה ראשי'!$E$18,0,1),TeamList[מס"ד],TeamList[מס'' הקבוצה]),"")</f>
        <v>2623</v>
      </c>
      <c r="F70" s="46">
        <f ca="1">IFERROR(_xlfn.XLOOKUP(OFFSET('תכנית לשופט זירה ראשי'!$E$18,0,2),TeamList[מס"ד],TeamList[מס'' הקבוצה]),"")</f>
        <v>1825</v>
      </c>
      <c r="G70" s="46">
        <f ca="1">IFERROR(_xlfn.XLOOKUP(OFFSET('תכנית לשופט זירה ראשי'!$E$18,0,3),TeamList[מס"ד],TeamList[מס'' הקבוצה]),"")</f>
        <v>3163</v>
      </c>
      <c r="H70" s="46" t="str">
        <f ca="1">IFERROR(_xlfn.XLOOKUP(OFFSET('תכנית לשופט זירה ראשי'!$E$18,0,4),TeamList[מס"ד],TeamList[מס'' הקבוצה]),"")</f>
        <v/>
      </c>
      <c r="I70" s="46" t="str">
        <f ca="1">IFERROR(_xlfn.XLOOKUP(OFFSET('תכנית לשופט זירה ראשי'!$E$18,0,5),TeamList[מס"ד],TeamList[מס'' הקבוצה]),"")</f>
        <v/>
      </c>
      <c r="J70" s="46" t="str">
        <f ca="1">IFERROR(_xlfn.XLOOKUP(OFFSET('תכנית לשופט זירה ראשי'!$E$18,0,6),TeamList[מס"ד],TeamList[מס'' הקבוצה]),"")</f>
        <v/>
      </c>
      <c r="K70" s="46" t="str">
        <f ca="1">IFERROR(_xlfn.XLOOKUP(OFFSET('תכנית לשופט זירה ראשי'!$E$18,0,7),TeamList[מס"ד],TeamList[מס'' הקבוצה]),"")</f>
        <v/>
      </c>
    </row>
    <row r="71" spans="1:11" x14ac:dyDescent="0.65">
      <c r="A71">
        <f t="shared" si="2"/>
        <v>26</v>
      </c>
      <c r="B71" s="32">
        <f t="shared" si="3"/>
        <v>0.51736111111111105</v>
      </c>
      <c r="C71" s="32">
        <f t="shared" si="1"/>
        <v>0.51944444444444438</v>
      </c>
      <c r="D71" s="3" t="str">
        <f ca="1">IFERROR(_xlfn.XLOOKUP(OFFSET('תכנית לשופט זירה ראשי'!$E$18,1,0),TeamList[מס"ד],TeamList[מס'' הקבוצה]),"")</f>
        <v/>
      </c>
      <c r="E71" s="3" t="str">
        <f ca="1">IFERROR(_xlfn.XLOOKUP(OFFSET('תכנית לשופט זירה ראשי'!$E$18,1,1),TeamList[מס"ד],TeamList[מס'' הקבוצה]),"")</f>
        <v/>
      </c>
      <c r="F71" s="3" t="str">
        <f ca="1">IFERROR(_xlfn.XLOOKUP(OFFSET('תכנית לשופט זירה ראשי'!$E$18,1,2),TeamList[מס"ד],TeamList[מס'' הקבוצה]),"")</f>
        <v/>
      </c>
      <c r="G71" s="3" t="str">
        <f ca="1">IFERROR(_xlfn.XLOOKUP(OFFSET('תכנית לשופט זירה ראשי'!$E$18,1,3),TeamList[מס"ד],TeamList[מס'' הקבוצה]),"")</f>
        <v/>
      </c>
      <c r="H71" s="3">
        <f ca="1">IFERROR(_xlfn.XLOOKUP(OFFSET('תכנית לשופט זירה ראשי'!$E$18,1,4),TeamList[מס"ד],TeamList[מס'' הקבוצה]),"")</f>
        <v>3139</v>
      </c>
      <c r="I71" s="3">
        <f ca="1">IFERROR(_xlfn.XLOOKUP(OFFSET('תכנית לשופט זירה ראשי'!$E$18,1,5),TeamList[מס"ד],TeamList[מס'' הקבוצה]),"")</f>
        <v>2978</v>
      </c>
      <c r="J71" s="3">
        <f ca="1">IFERROR(_xlfn.XLOOKUP(OFFSET('תכנית לשופט זירה ראשי'!$E$18,1,6),TeamList[מס"ד],TeamList[מס'' הקבוצה]),"")</f>
        <v>3243</v>
      </c>
      <c r="K71" s="3">
        <f ca="1">IFERROR(_xlfn.XLOOKUP(OFFSET('תכנית לשופט זירה ראשי'!$E$18,1,7),TeamList[מס"ד],TeamList[מס'' הקבוצה]),"")</f>
        <v>3180</v>
      </c>
    </row>
    <row r="72" spans="1:11" x14ac:dyDescent="0.65">
      <c r="A72">
        <f t="shared" si="2"/>
        <v>27</v>
      </c>
      <c r="B72" s="32">
        <f t="shared" si="3"/>
        <v>0.52083333333333326</v>
      </c>
      <c r="C72" s="32">
        <f t="shared" si="1"/>
        <v>0.52291666666666659</v>
      </c>
      <c r="D72" s="3">
        <f ca="1">IFERROR(_xlfn.XLOOKUP(OFFSET('תכנית לשופט זירה ראשי'!$E$18,2,0),TeamList[מס"ד],TeamList[מס'' הקבוצה]),"")</f>
        <v>515</v>
      </c>
      <c r="E72" s="3">
        <f ca="1">IFERROR(_xlfn.XLOOKUP(OFFSET('תכנית לשופט זירה ראשי'!$E$18,2,1),TeamList[מס"ד],TeamList[מס'' הקבוצה]),"")</f>
        <v>588</v>
      </c>
      <c r="F72" s="3">
        <f ca="1">IFERROR(_xlfn.XLOOKUP(OFFSET('תכנית לשופט זירה ראשי'!$E$18,2,2),TeamList[מס"ד],TeamList[מס'' הקבוצה]),"")</f>
        <v>2954</v>
      </c>
      <c r="G72" s="3">
        <f ca="1">IFERROR(_xlfn.XLOOKUP(OFFSET('תכנית לשופט זירה ראשי'!$E$18,2,3),TeamList[מס"ד],TeamList[מס'' הקבוצה]),"")</f>
        <v>1042</v>
      </c>
      <c r="H72" s="3" t="str">
        <f ca="1">IFERROR(_xlfn.XLOOKUP(OFFSET('תכנית לשופט זירה ראשי'!$E$18,2,4),TeamList[מס"ד],TeamList[מס'' הקבוצה]),"")</f>
        <v/>
      </c>
      <c r="I72" s="3" t="str">
        <f ca="1">IFERROR(_xlfn.XLOOKUP(OFFSET('תכנית לשופט זירה ראשי'!$E$18,2,5),TeamList[מס"ד],TeamList[מס'' הקבוצה]),"")</f>
        <v/>
      </c>
      <c r="J72" s="3" t="str">
        <f ca="1">IFERROR(_xlfn.XLOOKUP(OFFSET('תכנית לשופט זירה ראשי'!$E$18,2,6),TeamList[מס"ד],TeamList[מס'' הקבוצה]),"")</f>
        <v/>
      </c>
      <c r="K72" s="3" t="str">
        <f ca="1">IFERROR(_xlfn.XLOOKUP(OFFSET('תכנית לשופט זירה ראשי'!$E$18,2,7),TeamList[מס"ד],TeamList[מס'' הקבוצה]),"")</f>
        <v/>
      </c>
    </row>
    <row r="73" spans="1:11" x14ac:dyDescent="0.65">
      <c r="A73">
        <f t="shared" si="2"/>
        <v>28</v>
      </c>
      <c r="B73" s="32">
        <f t="shared" si="3"/>
        <v>0.52430555555555547</v>
      </c>
      <c r="C73" s="32">
        <f t="shared" si="1"/>
        <v>0.5263888888888888</v>
      </c>
      <c r="D73" s="3" t="str">
        <f ca="1">IFERROR(_xlfn.XLOOKUP(OFFSET('תכנית לשופט זירה ראשי'!$E$18,3,0),TeamList[מס"ד],TeamList[מס'' הקבוצה]),"")</f>
        <v/>
      </c>
      <c r="E73" s="3" t="str">
        <f ca="1">IFERROR(_xlfn.XLOOKUP(OFFSET('תכנית לשופט זירה ראשי'!$E$18,3,1),TeamList[מס"ד],TeamList[מס'' הקבוצה]),"")</f>
        <v/>
      </c>
      <c r="F73" s="3" t="str">
        <f ca="1">IFERROR(_xlfn.XLOOKUP(OFFSET('תכנית לשופט זירה ראשי'!$E$18,3,2),TeamList[מס"ד],TeamList[מס'' הקבוצה]),"")</f>
        <v/>
      </c>
      <c r="G73" s="3" t="str">
        <f ca="1">IFERROR(_xlfn.XLOOKUP(OFFSET('תכנית לשופט זירה ראשי'!$E$18,3,3),TeamList[מס"ד],TeamList[מס'' הקבוצה]),"")</f>
        <v/>
      </c>
      <c r="H73" s="3">
        <f ca="1">IFERROR(_xlfn.XLOOKUP(OFFSET('תכנית לשופט זירה ראשי'!$E$18,3,4),TeamList[מס"ד],TeamList[מס'' הקבוצה]),"")</f>
        <v>3022</v>
      </c>
      <c r="I73" s="3">
        <f ca="1">IFERROR(_xlfn.XLOOKUP(OFFSET('תכנית לשופט זירה ראשי'!$E$18,3,5),TeamList[מס"ד],TeamList[מס'' הקבוצה]),"")</f>
        <v>341</v>
      </c>
      <c r="J73" s="3">
        <f ca="1">IFERROR(_xlfn.XLOOKUP(OFFSET('תכנית לשופט זירה ראשי'!$E$18,3,6),TeamList[מס"ד],TeamList[מס'' הקבוצה]),"")</f>
        <v>2977</v>
      </c>
      <c r="K73" s="3">
        <f ca="1">IFERROR(_xlfn.XLOOKUP(OFFSET('תכנית לשופט זירה ראשי'!$E$18,3,7),TeamList[מס"ד],TeamList[מס'' הקבוצה]),"")</f>
        <v>3185</v>
      </c>
    </row>
    <row r="74" spans="1:11" x14ac:dyDescent="0.65">
      <c r="A74">
        <f t="shared" si="2"/>
        <v>29</v>
      </c>
      <c r="B74" s="32">
        <f t="shared" si="3"/>
        <v>0.52777777777777768</v>
      </c>
      <c r="C74" s="32">
        <f t="shared" si="1"/>
        <v>0.52986111111111101</v>
      </c>
      <c r="D74" s="3">
        <f ca="1">IFERROR(_xlfn.XLOOKUP(OFFSET('תכנית לשופט זירה ראשי'!$E$18,4,0),TeamList[מס"ד],TeamList[מס'' הקבוצה]),"")</f>
        <v>1152</v>
      </c>
      <c r="E74" s="3">
        <f ca="1">IFERROR(_xlfn.XLOOKUP(OFFSET('תכנית לשופט זירה ראשי'!$E$18,4,1),TeamList[מס"ד],TeamList[מס'' הקבוצה]),"")</f>
        <v>2222</v>
      </c>
      <c r="F74" s="3">
        <f ca="1">IFERROR(_xlfn.XLOOKUP(OFFSET('תכנית לשופט זירה ראשי'!$E$18,4,2),TeamList[מס"ד],TeamList[מס'' הקבוצה]),"")</f>
        <v>1083</v>
      </c>
      <c r="G74" s="3">
        <f ca="1">IFERROR(_xlfn.XLOOKUP(OFFSET('תכנית לשופט זירה ראשי'!$E$18,4,3),TeamList[מס"ד],TeamList[מס'' הקבוצה]),"")</f>
        <v>3179</v>
      </c>
      <c r="H74" s="3" t="str">
        <f ca="1">IFERROR(_xlfn.XLOOKUP(OFFSET('תכנית לשופט זירה ראשי'!$E$18,4,4),TeamList[מס"ד],TeamList[מס'' הקבוצה]),"")</f>
        <v/>
      </c>
      <c r="I74" s="3" t="str">
        <f ca="1">IFERROR(_xlfn.XLOOKUP(OFFSET('תכנית לשופט זירה ראשי'!$E$18,4,5),TeamList[מס"ד],TeamList[מס'' הקבוצה]),"")</f>
        <v/>
      </c>
      <c r="J74" s="3" t="str">
        <f ca="1">IFERROR(_xlfn.XLOOKUP(OFFSET('תכנית לשופט זירה ראשי'!$E$18,4,6),TeamList[מס"ד],TeamList[מס'' הקבוצה]),"")</f>
        <v/>
      </c>
      <c r="K74" s="3" t="str">
        <f ca="1">IFERROR(_xlfn.XLOOKUP(OFFSET('תכנית לשופט זירה ראשי'!$E$18,4,7),TeamList[מס"ד],TeamList[מס'' הקבוצה]),"")</f>
        <v/>
      </c>
    </row>
    <row r="75" spans="1:11" x14ac:dyDescent="0.65">
      <c r="A75">
        <f t="shared" si="2"/>
        <v>30</v>
      </c>
      <c r="B75" s="32">
        <f t="shared" si="3"/>
        <v>0.53125</v>
      </c>
      <c r="C75" s="32">
        <f t="shared" si="1"/>
        <v>0.53333333333333333</v>
      </c>
      <c r="D75" s="3" t="str">
        <f ca="1">IFERROR(_xlfn.XLOOKUP(OFFSET('תכנית לשופט זירה ראשי'!$E$18,5,0),TeamList[מס"ד],TeamList[מס'' הקבוצה]),"")</f>
        <v/>
      </c>
      <c r="E75" s="3" t="str">
        <f ca="1">IFERROR(_xlfn.XLOOKUP(OFFSET('תכנית לשופט זירה ראשי'!$E$18,5,1),TeamList[מס"ד],TeamList[מס'' הקבוצה]),"")</f>
        <v/>
      </c>
      <c r="F75" s="3" t="str">
        <f ca="1">IFERROR(_xlfn.XLOOKUP(OFFSET('תכנית לשופט זירה ראשי'!$E$18,5,2),TeamList[מס"ד],TeamList[מס'' הקבוצה]),"")</f>
        <v/>
      </c>
      <c r="G75" s="3" t="str">
        <f ca="1">IFERROR(_xlfn.XLOOKUP(OFFSET('תכנית לשופט זירה ראשי'!$E$18,5,3),TeamList[מס"ד],TeamList[מס'' הקבוצה]),"")</f>
        <v/>
      </c>
      <c r="H75" s="3">
        <f ca="1">IFERROR(_xlfn.XLOOKUP(OFFSET('תכנית לשופט זירה ראשי'!$E$18,5,4),TeamList[מס"ד],TeamList[מס'' הקבוצה]),"")</f>
        <v>1864</v>
      </c>
      <c r="I75" s="3">
        <f ca="1">IFERROR(_xlfn.XLOOKUP(OFFSET('תכנית לשופט זירה ראשי'!$E$18,5,5),TeamList[מס"ד],TeamList[מס'' הקבוצה]),"")</f>
        <v>3181</v>
      </c>
      <c r="J75" s="3">
        <f ca="1">IFERROR(_xlfn.XLOOKUP(OFFSET('תכנית לשופט זירה ראשי'!$E$18,5,6),TeamList[מס"ד],TeamList[מס'' הקבוצה]),"")</f>
        <v>1043</v>
      </c>
      <c r="K75" s="3">
        <f ca="1">IFERROR(_xlfn.XLOOKUP(OFFSET('תכנית לשופט זירה ראשי'!$E$18,5,7),TeamList[מס"ד],TeamList[מס'' הקבוצה]),"")</f>
        <v>3146</v>
      </c>
    </row>
    <row r="76" spans="1:11" x14ac:dyDescent="0.65">
      <c r="A76">
        <f t="shared" si="2"/>
        <v>31</v>
      </c>
      <c r="B76" s="32">
        <f t="shared" si="3"/>
        <v>0.53472222222222221</v>
      </c>
      <c r="C76" s="32">
        <f t="shared" si="1"/>
        <v>0.53680555555555554</v>
      </c>
      <c r="D76" s="3">
        <f ca="1">IFERROR(_xlfn.XLOOKUP(OFFSET('תכנית לשופט זירה ראשי'!$E$18,6,0),TeamList[מס"ד],TeamList[מס'' הקבוצה]),"")</f>
        <v>3006</v>
      </c>
      <c r="E76" s="3">
        <f ca="1">IFERROR(_xlfn.XLOOKUP(OFFSET('תכנית לשופט זירה ראשי'!$E$18,6,1),TeamList[מס"ד],TeamList[מס'' הקבוצה]),"")</f>
        <v>3184</v>
      </c>
      <c r="F76" s="3">
        <f ca="1">IFERROR(_xlfn.XLOOKUP(OFFSET('תכנית לשופט זירה ראשי'!$E$18,6,2),TeamList[מס"ד],TeamList[מס'' הקבוצה]),"")</f>
        <v>3128</v>
      </c>
      <c r="G76" s="3">
        <f ca="1">IFERROR(_xlfn.XLOOKUP(OFFSET('תכנית לשופט זירה ראשי'!$E$18,6,3),TeamList[מס"ד],TeamList[מס'' הקבוצה]),"")</f>
        <v>1214</v>
      </c>
      <c r="H76" s="3" t="str">
        <f ca="1">IFERROR(_xlfn.XLOOKUP(OFFSET('תכנית לשופט זירה ראשי'!$E$18,6,4),TeamList[מס"ד],TeamList[מס'' הקבוצה]),"")</f>
        <v/>
      </c>
      <c r="I76" s="3" t="str">
        <f ca="1">IFERROR(_xlfn.XLOOKUP(OFFSET('תכנית לשופט זירה ראשי'!$E$18,6,5),TeamList[מס"ד],TeamList[מס'' הקבוצה]),"")</f>
        <v/>
      </c>
      <c r="J76" s="3" t="str">
        <f ca="1">IFERROR(_xlfn.XLOOKUP(OFFSET('תכנית לשופט זירה ראשי'!$E$18,6,6),TeamList[מס"ד],TeamList[מס'' הקבוצה]),"")</f>
        <v/>
      </c>
      <c r="K76" s="3" t="str">
        <f ca="1">IFERROR(_xlfn.XLOOKUP(OFFSET('תכנית לשופט זירה ראשי'!$E$18,6,7),TeamList[מס"ד],TeamList[מס'' הקבוצה]),"")</f>
        <v/>
      </c>
    </row>
    <row r="77" spans="1:11" x14ac:dyDescent="0.65">
      <c r="A77">
        <f t="shared" si="2"/>
        <v>32</v>
      </c>
      <c r="B77" s="32">
        <f t="shared" si="3"/>
        <v>0.53819444444444442</v>
      </c>
      <c r="C77" s="32">
        <f t="shared" si="1"/>
        <v>0.54027777777777775</v>
      </c>
      <c r="D77" s="3" t="str">
        <f ca="1">IFERROR(_xlfn.XLOOKUP(OFFSET('תכנית לשופט זירה ראשי'!$E$18,7,0),TeamList[מס"ד],TeamList[מס'' הקבוצה]),"")</f>
        <v/>
      </c>
      <c r="E77" s="3" t="str">
        <f ca="1">IFERROR(_xlfn.XLOOKUP(OFFSET('תכנית לשופט זירה ראשי'!$E$18,7,1),TeamList[מס"ד],TeamList[מס'' הקבוצה]),"")</f>
        <v/>
      </c>
      <c r="F77" s="3" t="str">
        <f ca="1">IFERROR(_xlfn.XLOOKUP(OFFSET('תכנית לשופט זירה ראשי'!$E$18,7,2),TeamList[מס"ד],TeamList[מס'' הקבוצה]),"")</f>
        <v/>
      </c>
      <c r="G77" s="3" t="str">
        <f ca="1">IFERROR(_xlfn.XLOOKUP(OFFSET('תכנית לשופט זירה ראשי'!$E$18,7,3),TeamList[מס"ד],TeamList[מס'' הקבוצה]),"")</f>
        <v/>
      </c>
      <c r="H77" s="3">
        <f ca="1">IFERROR(_xlfn.XLOOKUP(OFFSET('תכנית לשופט זירה ראשי'!$E$18,7,4),TeamList[מס"ד],TeamList[מס'' הקבוצה]),"")</f>
        <v>2130</v>
      </c>
      <c r="I77" s="3">
        <f ca="1">IFERROR(_xlfn.XLOOKUP(OFFSET('תכנית לשופט זירה ראשי'!$E$18,7,5),TeamList[מס"ד],TeamList[מס'' הקבוצה]),"")</f>
        <v>2748</v>
      </c>
      <c r="J77" s="3">
        <f ca="1">IFERROR(_xlfn.XLOOKUP(OFFSET('תכנית לשופט זירה ראשי'!$E$18,7,6),TeamList[מס"ד],TeamList[מס'' הקבוצה]),"")</f>
        <v>1099</v>
      </c>
      <c r="K77" s="3">
        <f ca="1">IFERROR(_xlfn.XLOOKUP(OFFSET('תכנית לשופט זירה ראשי'!$E$18,7,7),TeamList[מס"ד],TeamList[מס'' הקבוצה]),"")</f>
        <v>1300</v>
      </c>
    </row>
    <row r="78" spans="1:11" x14ac:dyDescent="0.65">
      <c r="A78">
        <f t="shared" si="2"/>
        <v>33</v>
      </c>
      <c r="B78" s="32">
        <f t="shared" si="3"/>
        <v>0.54166666666666663</v>
      </c>
      <c r="C78" s="32">
        <f t="shared" si="1"/>
        <v>0.54374999999999996</v>
      </c>
      <c r="D78" s="3">
        <f ca="1">IFERROR(_xlfn.XLOOKUP(OFFSET('תכנית לשופט זירה ראשי'!$E$18,8,0),TeamList[מס"ד],TeamList[מס'' הקבוצה]),"")</f>
        <v>2843</v>
      </c>
      <c r="E78" s="3">
        <f ca="1">IFERROR(_xlfn.XLOOKUP(OFFSET('תכנית לשופט זירה ראשי'!$E$18,8,1),TeamList[מס"ד],TeamList[מס'' הקבוצה]),"")</f>
        <v>1332</v>
      </c>
      <c r="F78" s="3">
        <f ca="1">IFERROR(_xlfn.XLOOKUP(OFFSET('תכנית לשופט זירה ראשי'!$E$18,8,2),TeamList[מס"ד],TeamList[מס'' הקבוצה]),"")</f>
        <v>3294</v>
      </c>
      <c r="G78" s="3">
        <f ca="1">IFERROR(_xlfn.XLOOKUP(OFFSET('תכנית לשופט זירה ראשי'!$E$18,8,3),TeamList[מס"ד],TeamList[מס'' הקבוצה]),"")</f>
        <v>3340</v>
      </c>
      <c r="H78" s="3" t="str">
        <f ca="1">IFERROR(_xlfn.XLOOKUP(OFFSET('תכנית לשופט זירה ראשי'!$E$18,8,4),TeamList[מס"ד],TeamList[מס'' הקבוצה]),"")</f>
        <v/>
      </c>
      <c r="I78" s="3" t="str">
        <f ca="1">IFERROR(_xlfn.XLOOKUP(OFFSET('תכנית לשופט זירה ראשי'!$E$18,8,5),TeamList[מס"ד],TeamList[מס'' הקבוצה]),"")</f>
        <v/>
      </c>
      <c r="J78" s="3" t="str">
        <f ca="1">IFERROR(_xlfn.XLOOKUP(OFFSET('תכנית לשופט זירה ראשי'!$E$18,8,6),TeamList[מס"ד],TeamList[מס'' הקבוצה]),"")</f>
        <v/>
      </c>
      <c r="K78" s="3" t="str">
        <f ca="1">IFERROR(_xlfn.XLOOKUP(OFFSET('תכנית לשופט זירה ראשי'!$E$18,8,7),TeamList[מס"ד],TeamList[מס'' הקבוצה]),"")</f>
        <v/>
      </c>
    </row>
    <row r="79" spans="1:11" x14ac:dyDescent="0.65">
      <c r="A79">
        <f t="shared" si="2"/>
        <v>34</v>
      </c>
      <c r="B79" s="32">
        <f t="shared" si="3"/>
        <v>0.54513888888888884</v>
      </c>
      <c r="C79" s="32">
        <f t="shared" si="1"/>
        <v>0.54722222222222217</v>
      </c>
      <c r="D79" s="3" t="str">
        <f ca="1">IFERROR(_xlfn.XLOOKUP(OFFSET('תכנית לשופט זירה ראשי'!$E$18,9,0),TeamList[מס"ד],TeamList[מס'' הקבוצה]),"")</f>
        <v/>
      </c>
      <c r="E79" s="3" t="str">
        <f ca="1">IFERROR(_xlfn.XLOOKUP(OFFSET('תכנית לשופט זירה ראשי'!$E$18,9,1),TeamList[מס"ד],TeamList[מס'' הקבוצה]),"")</f>
        <v/>
      </c>
      <c r="F79" s="3" t="str">
        <f ca="1">IFERROR(_xlfn.XLOOKUP(OFFSET('תכנית לשופט זירה ראשי'!$E$18,9,2),TeamList[מס"ד],TeamList[מס'' הקבוצה]),"")</f>
        <v/>
      </c>
      <c r="G79" s="3" t="str">
        <f ca="1">IFERROR(_xlfn.XLOOKUP(OFFSET('תכנית לשופט זירה ראשי'!$E$18,9,3),TeamList[מס"ד],TeamList[מס'' הקבוצה]),"")</f>
        <v/>
      </c>
      <c r="H79" s="3">
        <f ca="1">IFERROR(_xlfn.XLOOKUP(OFFSET('תכנית לשופט זירה ראשי'!$E$18,9,4),TeamList[מס"ד],TeamList[מס'' הקבוצה]),"")</f>
        <v>2622</v>
      </c>
      <c r="I79" s="3">
        <f ca="1">IFERROR(_xlfn.XLOOKUP(OFFSET('תכנית לשופט זירה ראשי'!$E$18,9,5),TeamList[מס"ד],TeamList[מס'' הקבוצה]),"")</f>
        <v>1301</v>
      </c>
      <c r="J79" s="3">
        <f ca="1">IFERROR(_xlfn.XLOOKUP(OFFSET('תכנית לשופט זירה ראשי'!$E$18,9,6),TeamList[מס"ד],TeamList[מס'' הקבוצה]),"")</f>
        <v>1697</v>
      </c>
      <c r="K79" s="3">
        <f ca="1">IFERROR(_xlfn.XLOOKUP(OFFSET('תכנית לשופט זירה ראשי'!$E$18,9,7),TeamList[מס"ד],TeamList[מס'' הקבוצה]),"")</f>
        <v>2840</v>
      </c>
    </row>
    <row r="80" spans="1:11" x14ac:dyDescent="0.65">
      <c r="A80">
        <f t="shared" si="2"/>
        <v>35</v>
      </c>
      <c r="B80" s="32">
        <f t="shared" si="3"/>
        <v>0.54861111111111105</v>
      </c>
      <c r="C80" s="32">
        <f t="shared" si="1"/>
        <v>0.55069444444444438</v>
      </c>
      <c r="D80" s="3">
        <f ca="1">IFERROR(_xlfn.XLOOKUP(OFFSET('תכנית לשופט זירה ראשי'!$E$18,10,0),TeamList[מס"ד],TeamList[מס'' הקבוצה]),"")</f>
        <v>1616</v>
      </c>
      <c r="E80" s="3">
        <f ca="1">IFERROR(_xlfn.XLOOKUP(OFFSET('תכנית לשופט זירה ראשי'!$E$18,10,1),TeamList[מס"ד],TeamList[מס'' הקבוצה]),"")</f>
        <v>3182</v>
      </c>
      <c r="F80" s="3">
        <f ca="1">IFERROR(_xlfn.XLOOKUP(OFFSET('תכנית לשופט זירה ראשי'!$E$18,10,2),TeamList[מס"ד],TeamList[מס'' הקבוצה]),"")</f>
        <v>1333</v>
      </c>
      <c r="G80" s="3">
        <f ca="1">IFERROR(_xlfn.XLOOKUP(OFFSET('תכנית לשופט זירה ראשי'!$E$18,10,3),TeamList[מס"ד],TeamList[מס'' הקבוצה]),"")</f>
        <v>52</v>
      </c>
      <c r="H80" s="3" t="str">
        <f ca="1">IFERROR(_xlfn.XLOOKUP(OFFSET('תכנית לשופט זירה ראשי'!$E$18,10,4),TeamList[מס"ד],TeamList[מס'' הקבוצה]),"")</f>
        <v/>
      </c>
      <c r="I80" s="3" t="str">
        <f ca="1">IFERROR(_xlfn.XLOOKUP(OFFSET('תכנית לשופט זירה ראשי'!$E$18,10,5),TeamList[מס"ד],TeamList[מס'' הקבוצה]),"")</f>
        <v/>
      </c>
      <c r="J80" s="3" t="str">
        <f ca="1">IFERROR(_xlfn.XLOOKUP(OFFSET('תכנית לשופט זירה ראשי'!$E$18,10,6),TeamList[מס"ד],TeamList[מס'' הקבוצה]),"")</f>
        <v/>
      </c>
      <c r="K80" s="3" t="str">
        <f ca="1">IFERROR(_xlfn.XLOOKUP(OFFSET('תכנית לשופט זירה ראשי'!$E$18,10,7),TeamList[מס"ד],TeamList[מס'' הקבוצה]),"")</f>
        <v/>
      </c>
    </row>
    <row r="81" spans="1:11" x14ac:dyDescent="0.65">
      <c r="A81">
        <f t="shared" si="2"/>
        <v>36</v>
      </c>
      <c r="B81" s="32">
        <f>start_round_II+(A81-RM*2-1)*ORM</f>
        <v>0.55208333333333326</v>
      </c>
      <c r="C81" s="32">
        <f>B81+TIME(0,3,0)</f>
        <v>0.55416666666666659</v>
      </c>
      <c r="D81" s="3" t="str">
        <f ca="1">IFERROR(_xlfn.XLOOKUP(OFFSET('תכנית לשופט זירה ראשי'!$E$18,11,0),TeamList[מס"ד],TeamList[מס'' הקבוצה]),"")</f>
        <v/>
      </c>
      <c r="E81" s="3" t="str">
        <f ca="1">IFERROR(_xlfn.XLOOKUP(OFFSET('תכנית לשופט זירה ראשי'!$E$18,11,1),TeamList[מס"ד],TeamList[מס'' הקבוצה]),"")</f>
        <v/>
      </c>
      <c r="F81" s="3" t="str">
        <f ca="1">IFERROR(_xlfn.XLOOKUP(OFFSET('תכנית לשופט זירה ראשי'!$E$18,11,2),TeamList[מס"ד],TeamList[מס'' הקבוצה]),"")</f>
        <v/>
      </c>
      <c r="G81" s="3" t="str">
        <f ca="1">IFERROR(_xlfn.XLOOKUP(OFFSET('תכנית לשופט זירה ראשי'!$E$18,11,3),TeamList[מס"ד],TeamList[מס'' הקבוצה]),"")</f>
        <v/>
      </c>
      <c r="H81" s="3">
        <f ca="1">IFERROR(_xlfn.XLOOKUP(OFFSET('תכנית לשופט זירה ראשי'!$E$18,11,4),TeamList[מס"ד],TeamList[מס'' הקבוצה]),"")</f>
        <v>1720</v>
      </c>
      <c r="I81" s="3">
        <f ca="1">IFERROR(_xlfn.XLOOKUP(OFFSET('תכנית לשופט זירה ראשי'!$E$18,11,5),TeamList[מס"ד],TeamList[מס'' הקבוצה]),"")</f>
        <v>1324</v>
      </c>
      <c r="J81" s="3">
        <f ca="1">IFERROR(_xlfn.XLOOKUP(OFFSET('תכנית לשופט זירה ראשי'!$E$18,11,6),TeamList[מס"ד],TeamList[מס'' הקבוצה]),"")</f>
        <v>662</v>
      </c>
      <c r="K81" s="3">
        <f ca="1">IFERROR(_xlfn.XLOOKUP(OFFSET('תכנית לשופט זירה ראשי'!$E$18,11,7),TeamList[מס"ד],TeamList[מס'' הקבוצה]),"")</f>
        <v>240</v>
      </c>
    </row>
    <row r="82" spans="1:11" x14ac:dyDescent="0.65">
      <c r="A82" s="44">
        <f>RM*3+1</f>
        <v>37</v>
      </c>
      <c r="B82" s="45">
        <f t="shared" ref="B82:B92" si="4">start_round_III+(A82-RM*3-1)*ORM</f>
        <v>0.59027777777777768</v>
      </c>
      <c r="C82" s="45">
        <f t="shared" si="1"/>
        <v>0.59236111111111101</v>
      </c>
      <c r="D82" s="46">
        <f ca="1">IFERROR(_xlfn.XLOOKUP(OFFSET('תכנית לשופט זירה ראשי'!$E$32,0,0),TeamList[מס"ד],TeamList[מס'' הקבוצה]),"")</f>
        <v>3180</v>
      </c>
      <c r="E82" s="46">
        <f ca="1">IFERROR(_xlfn.XLOOKUP(OFFSET('תכנית לשופט זירה ראשי'!$E$32,0,1),TeamList[מס"ד],TeamList[מס'' הקבוצה]),"")</f>
        <v>3163</v>
      </c>
      <c r="F82" s="46">
        <f ca="1">IFERROR(_xlfn.XLOOKUP(OFFSET('תכנית לשופט זירה ראשי'!$E$32,0,2),TeamList[מס"ד],TeamList[מס'' הקבוצה]),"")</f>
        <v>1825</v>
      </c>
      <c r="G82" s="46">
        <f ca="1">IFERROR(_xlfn.XLOOKUP(OFFSET('תכנית לשופט זירה ראשי'!$E$32,0,3),TeamList[מס"ד],TeamList[מס'' הקבוצה]),"")</f>
        <v>1042</v>
      </c>
      <c r="H82" s="46" t="str">
        <f ca="1">IFERROR(_xlfn.XLOOKUP(OFFSET('תכנית לשופט זירה ראשי'!$E$32,0,4),TeamList[מס"ד],TeamList[מס'' הקבוצה]),"")</f>
        <v/>
      </c>
      <c r="I82" s="46" t="str">
        <f ca="1">IFERROR(_xlfn.XLOOKUP(OFFSET('תכנית לשופט זירה ראשי'!$E$32,0,5),TeamList[מס"ד],TeamList[מס'' הקבוצה]),"")</f>
        <v/>
      </c>
      <c r="J82" s="46" t="str">
        <f ca="1">IFERROR(_xlfn.XLOOKUP(OFFSET('תכנית לשופט זירה ראשי'!$E$32,0,6),TeamList[מס"ד],TeamList[מס'' הקבוצה]),"")</f>
        <v/>
      </c>
      <c r="K82" s="46" t="str">
        <f ca="1">IFERROR(_xlfn.XLOOKUP(OFFSET('תכנית לשופט זירה ראשי'!$E$32,0,7),TeamList[מס"ד],TeamList[מס'' הקבוצה]),"")</f>
        <v/>
      </c>
    </row>
    <row r="83" spans="1:11" x14ac:dyDescent="0.65">
      <c r="A83">
        <f t="shared" si="2"/>
        <v>38</v>
      </c>
      <c r="B83" s="32">
        <f t="shared" si="4"/>
        <v>0.59374999999999989</v>
      </c>
      <c r="C83" s="32">
        <f t="shared" si="1"/>
        <v>0.59583333333333321</v>
      </c>
      <c r="D83" s="3" t="str">
        <f ca="1">IFERROR(_xlfn.XLOOKUP(OFFSET('תכנית לשופט זירה ראשי'!$E$32,1,0),TeamList[מס"ד],TeamList[מס'' הקבוצה]),"")</f>
        <v/>
      </c>
      <c r="E83" s="3" t="str">
        <f ca="1">IFERROR(_xlfn.XLOOKUP(OFFSET('תכנית לשופט זירה ראשי'!$E$32,1,1),TeamList[מס"ד],TeamList[מס'' הקבוצה]),"")</f>
        <v/>
      </c>
      <c r="F83" s="3" t="str">
        <f ca="1">IFERROR(_xlfn.XLOOKUP(OFFSET('תכנית לשופט זירה ראשי'!$E$32,1,2),TeamList[מס"ד],TeamList[מס'' הקבוצה]),"")</f>
        <v/>
      </c>
      <c r="G83" s="3" t="str">
        <f ca="1">IFERROR(_xlfn.XLOOKUP(OFFSET('תכנית לשופט זירה ראשי'!$E$32,1,3),TeamList[מס"ד],TeamList[מס'' הקבוצה]),"")</f>
        <v/>
      </c>
      <c r="H83" s="3">
        <f ca="1">IFERROR(_xlfn.XLOOKUP(OFFSET('תכנית לשופט זירה ראשי'!$E$32,1,4),TeamList[מס"ד],TeamList[מס'' הקבוצה]),"")</f>
        <v>2954</v>
      </c>
      <c r="I83" s="3">
        <f ca="1">IFERROR(_xlfn.XLOOKUP(OFFSET('תכנית לשופט זירה ראשי'!$E$32,1,5),TeamList[מס"ד],TeamList[מס'' הקבוצה]),"")</f>
        <v>3243</v>
      </c>
      <c r="J83" s="3">
        <f ca="1">IFERROR(_xlfn.XLOOKUP(OFFSET('תכנית לשופט זירה ראשי'!$E$32,1,6),TeamList[מס"ד],TeamList[מס'' הקבוצה]),"")</f>
        <v>2978</v>
      </c>
      <c r="K83" s="3">
        <f ca="1">IFERROR(_xlfn.XLOOKUP(OFFSET('תכנית לשופט זירה ראשי'!$E$32,1,7),TeamList[מס"ד],TeamList[מס'' הקבוצה]),"")</f>
        <v>2623</v>
      </c>
    </row>
    <row r="84" spans="1:11" x14ac:dyDescent="0.65">
      <c r="A84">
        <f t="shared" si="2"/>
        <v>39</v>
      </c>
      <c r="B84" s="32">
        <f t="shared" si="4"/>
        <v>0.5972222222222221</v>
      </c>
      <c r="C84" s="32">
        <f t="shared" si="1"/>
        <v>0.59930555555555542</v>
      </c>
      <c r="D84" s="3">
        <f ca="1">IFERROR(_xlfn.XLOOKUP(OFFSET('תכנית לשופט זירה ראשי'!$E$32,2,0),TeamList[מס"ד],TeamList[מס'' הקבוצה]),"")</f>
        <v>1371</v>
      </c>
      <c r="E84" s="3">
        <f ca="1">IFERROR(_xlfn.XLOOKUP(OFFSET('תכנית לשופט זירה ראשי'!$E$32,2,1),TeamList[מס"ד],TeamList[מס'' הקבוצה]),"")</f>
        <v>588</v>
      </c>
      <c r="F84" s="3">
        <f ca="1">IFERROR(_xlfn.XLOOKUP(OFFSET('תכנית לשופט זירה ראשי'!$E$32,2,2),TeamList[מס"ד],TeamList[מס'' הקבוצה]),"")</f>
        <v>515</v>
      </c>
      <c r="G84" s="3">
        <f ca="1">IFERROR(_xlfn.XLOOKUP(OFFSET('תכנית לשופט זירה ראשי'!$E$32,2,3),TeamList[מס"ד],TeamList[מס'' הקבוצה]),"")</f>
        <v>3139</v>
      </c>
      <c r="H84" s="3" t="str">
        <f ca="1">IFERROR(_xlfn.XLOOKUP(OFFSET('תכנית לשופט זירה ראשי'!$E$32,2,4),TeamList[מס"ד],TeamList[מס'' הקבוצה]),"")</f>
        <v/>
      </c>
      <c r="I84" s="3" t="str">
        <f ca="1">IFERROR(_xlfn.XLOOKUP(OFFSET('תכנית לשופט זירה ראשי'!$E$32,2,5),TeamList[מס"ד],TeamList[מס'' הקבוצה]),"")</f>
        <v/>
      </c>
      <c r="J84" s="3" t="str">
        <f ca="1">IFERROR(_xlfn.XLOOKUP(OFFSET('תכנית לשופט זירה ראשי'!$E$32,2,6),TeamList[מס"ד],TeamList[מס'' הקבוצה]),"")</f>
        <v/>
      </c>
      <c r="K84" s="3" t="str">
        <f ca="1">IFERROR(_xlfn.XLOOKUP(OFFSET('תכנית לשופט זירה ראשי'!$E$32,2,7),TeamList[מס"ד],TeamList[מס'' הקבוצה]),"")</f>
        <v/>
      </c>
    </row>
    <row r="85" spans="1:11" x14ac:dyDescent="0.65">
      <c r="A85">
        <f t="shared" si="2"/>
        <v>40</v>
      </c>
      <c r="B85" s="32">
        <f t="shared" si="4"/>
        <v>0.60069444444444431</v>
      </c>
      <c r="C85" s="32">
        <f t="shared" si="1"/>
        <v>0.60277777777777763</v>
      </c>
      <c r="D85" s="3" t="str">
        <f ca="1">IFERROR(_xlfn.XLOOKUP(OFFSET('תכנית לשופט זירה ראשי'!$E$32,3,0),TeamList[מס"ד],TeamList[מס'' הקבוצה]),"")</f>
        <v/>
      </c>
      <c r="E85" s="3" t="str">
        <f ca="1">IFERROR(_xlfn.XLOOKUP(OFFSET('תכנית לשופט זירה ראשי'!$E$32,3,1),TeamList[מס"ד],TeamList[מס'' הקבוצה]),"")</f>
        <v/>
      </c>
      <c r="F85" s="3" t="str">
        <f ca="1">IFERROR(_xlfn.XLOOKUP(OFFSET('תכנית לשופט זירה ראשי'!$E$32,3,2),TeamList[מס"ד],TeamList[מס'' הקבוצה]),"")</f>
        <v/>
      </c>
      <c r="G85" s="3" t="str">
        <f ca="1">IFERROR(_xlfn.XLOOKUP(OFFSET('תכנית לשופט זירה ראשי'!$E$32,3,3),TeamList[מס"ד],TeamList[מס'' הקבוצה]),"")</f>
        <v/>
      </c>
      <c r="H85" s="3">
        <f ca="1">IFERROR(_xlfn.XLOOKUP(OFFSET('תכנית לשופט זירה ראשי'!$E$32,3,4),TeamList[מס"ד],TeamList[מס'' הקבוצה]),"")</f>
        <v>3179</v>
      </c>
      <c r="I85" s="3">
        <f ca="1">IFERROR(_xlfn.XLOOKUP(OFFSET('תכנית לשופט זירה ראשי'!$E$32,3,5),TeamList[מס"ד],TeamList[מס'' הקבוצה]),"")</f>
        <v>3185</v>
      </c>
      <c r="J85" s="3">
        <f ca="1">IFERROR(_xlfn.XLOOKUP(OFFSET('תכנית לשופט זירה ראשי'!$E$32,3,6),TeamList[מס"ד],TeamList[מס'' הקבוצה]),"")</f>
        <v>2977</v>
      </c>
      <c r="K85" s="3">
        <f ca="1">IFERROR(_xlfn.XLOOKUP(OFFSET('תכנית לשופט זירה ראשי'!$E$32,3,7),TeamList[מס"ד],TeamList[מס'' הקבוצה]),"")</f>
        <v>3146</v>
      </c>
    </row>
    <row r="86" spans="1:11" x14ac:dyDescent="0.65">
      <c r="A86">
        <f t="shared" si="2"/>
        <v>41</v>
      </c>
      <c r="B86" s="32">
        <f t="shared" si="4"/>
        <v>0.60416666666666652</v>
      </c>
      <c r="C86" s="32">
        <f t="shared" si="1"/>
        <v>0.60624999999999984</v>
      </c>
      <c r="D86" s="3">
        <f ca="1">IFERROR(_xlfn.XLOOKUP(OFFSET('תכנית לשופט זירה ראשי'!$E$32,4,0),TeamList[מס"ד],TeamList[מס'' הקבוצה]),"")</f>
        <v>1043</v>
      </c>
      <c r="E86" s="3">
        <f ca="1">IFERROR(_xlfn.XLOOKUP(OFFSET('תכנית לשופט זירה ראשי'!$E$32,4,1),TeamList[מס"ד],TeamList[מס'' הקבוצה]),"")</f>
        <v>1083</v>
      </c>
      <c r="F86" s="3">
        <f ca="1">IFERROR(_xlfn.XLOOKUP(OFFSET('תכנית לשופט זירה ראשי'!$E$32,4,2),TeamList[מס"ד],TeamList[מס'' הקבוצה]),"")</f>
        <v>2222</v>
      </c>
      <c r="G86" s="3">
        <f ca="1">IFERROR(_xlfn.XLOOKUP(OFFSET('תכנית לשופט זירה ראשי'!$E$32,4,3),TeamList[מס"ד],TeamList[מס'' הקבוצה]),"")</f>
        <v>341</v>
      </c>
      <c r="H86" s="3" t="str">
        <f ca="1">IFERROR(_xlfn.XLOOKUP(OFFSET('תכנית לשופט זירה ראשי'!$E$32,4,4),TeamList[מס"ד],TeamList[מס'' הקבוצה]),"")</f>
        <v/>
      </c>
      <c r="I86" s="3" t="str">
        <f ca="1">IFERROR(_xlfn.XLOOKUP(OFFSET('תכנית לשופט זירה ראשי'!$E$32,4,5),TeamList[מס"ד],TeamList[מס'' הקבוצה]),"")</f>
        <v/>
      </c>
      <c r="J86" s="3" t="str">
        <f ca="1">IFERROR(_xlfn.XLOOKUP(OFFSET('תכנית לשופט זירה ראשי'!$E$32,4,6),TeamList[מס"ד],TeamList[מס'' הקבוצה]),"")</f>
        <v/>
      </c>
      <c r="K86" s="3" t="str">
        <f ca="1">IFERROR(_xlfn.XLOOKUP(OFFSET('תכנית לשופט זירה ראשי'!$E$32,4,7),TeamList[מס"ד],TeamList[מס'' הקבוצה]),"")</f>
        <v/>
      </c>
    </row>
    <row r="87" spans="1:11" x14ac:dyDescent="0.65">
      <c r="A87">
        <f t="shared" si="2"/>
        <v>42</v>
      </c>
      <c r="B87" s="32">
        <f t="shared" si="4"/>
        <v>0.60763888888888884</v>
      </c>
      <c r="C87" s="32">
        <f t="shared" si="1"/>
        <v>0.60972222222222217</v>
      </c>
      <c r="D87" s="3" t="str">
        <f ca="1">IFERROR(_xlfn.XLOOKUP(OFFSET('תכנית לשופט זירה ראשי'!$E$32,5,0),TeamList[מס"ד],TeamList[מס'' הקבוצה]),"")</f>
        <v/>
      </c>
      <c r="E87" s="3" t="str">
        <f ca="1">IFERROR(_xlfn.XLOOKUP(OFFSET('תכנית לשופט זירה ראשי'!$E$32,5,1),TeamList[מס"ד],TeamList[מס'' הקבוצה]),"")</f>
        <v/>
      </c>
      <c r="F87" s="3" t="str">
        <f ca="1">IFERROR(_xlfn.XLOOKUP(OFFSET('תכנית לשופט זירה ראשי'!$E$32,5,2),TeamList[מס"ד],TeamList[מס'' הקבוצה]),"")</f>
        <v/>
      </c>
      <c r="G87" s="3" t="str">
        <f ca="1">IFERROR(_xlfn.XLOOKUP(OFFSET('תכנית לשופט זירה ראשי'!$E$32,5,3),TeamList[מס"ד],TeamList[מס'' הקבוצה]),"")</f>
        <v/>
      </c>
      <c r="H87" s="3">
        <f ca="1">IFERROR(_xlfn.XLOOKUP(OFFSET('תכנית לשופט זירה ראשי'!$E$32,5,4),TeamList[מס"ד],TeamList[מס'' הקבוצה]),"")</f>
        <v>3022</v>
      </c>
      <c r="I87" s="3">
        <f ca="1">IFERROR(_xlfn.XLOOKUP(OFFSET('תכנית לשופט זירה ראשי'!$E$32,5,5),TeamList[מס"ד],TeamList[מס'' הקבוצה]),"")</f>
        <v>3181</v>
      </c>
      <c r="J87" s="3">
        <f ca="1">IFERROR(_xlfn.XLOOKUP(OFFSET('תכנית לשופט זירה ראשי'!$E$32,5,6),TeamList[מס"ד],TeamList[מס'' הקבוצה]),"")</f>
        <v>1864</v>
      </c>
      <c r="K87" s="3">
        <f ca="1">IFERROR(_xlfn.XLOOKUP(OFFSET('תכנית לשופט זירה ראשי'!$E$32,5,7),TeamList[מס"ד],TeamList[מס'' הקבוצה]),"")</f>
        <v>1152</v>
      </c>
    </row>
    <row r="88" spans="1:11" x14ac:dyDescent="0.65">
      <c r="A88">
        <f t="shared" si="2"/>
        <v>43</v>
      </c>
      <c r="B88" s="32">
        <f t="shared" si="4"/>
        <v>0.61111111111111105</v>
      </c>
      <c r="C88" s="32">
        <f t="shared" si="1"/>
        <v>0.61319444444444438</v>
      </c>
      <c r="D88" s="3">
        <f ca="1">IFERROR(_xlfn.XLOOKUP(OFFSET('תכנית לשופט זירה ראשי'!$E$32,6,0),TeamList[מס"ד],TeamList[מס'' הקבוצה]),"")</f>
        <v>52</v>
      </c>
      <c r="E88" s="3">
        <f ca="1">IFERROR(_xlfn.XLOOKUP(OFFSET('תכנית לשופט זירה ראשי'!$E$32,6,1),TeamList[מס"ד],TeamList[מס'' הקבוצה]),"")</f>
        <v>2840</v>
      </c>
      <c r="F88" s="3">
        <f ca="1">IFERROR(_xlfn.XLOOKUP(OFFSET('תכנית לשופט זירה ראשי'!$E$32,6,2),TeamList[מס"ד],TeamList[מס'' הקבוצה]),"")</f>
        <v>1697</v>
      </c>
      <c r="G88" s="3">
        <f ca="1">IFERROR(_xlfn.XLOOKUP(OFFSET('תכנית לשופט זירה ראשי'!$E$32,6,3),TeamList[מס"ד],TeamList[מס'' הקבוצה]),"")</f>
        <v>240</v>
      </c>
      <c r="H88" s="3" t="str">
        <f ca="1">IFERROR(_xlfn.XLOOKUP(OFFSET('תכנית לשופט זירה ראשי'!$E$32,6,4),TeamList[מס"ד],TeamList[מס'' הקבוצה]),"")</f>
        <v/>
      </c>
      <c r="I88" s="3" t="str">
        <f ca="1">IFERROR(_xlfn.XLOOKUP(OFFSET('תכנית לשופט זירה ראשי'!$E$32,6,5),TeamList[מס"ד],TeamList[מס'' הקבוצה]),"")</f>
        <v/>
      </c>
      <c r="J88" s="3" t="str">
        <f ca="1">IFERROR(_xlfn.XLOOKUP(OFFSET('תכנית לשופט זירה ראשי'!$E$32,6,6),TeamList[מס"ד],TeamList[מס'' הקבוצה]),"")</f>
        <v/>
      </c>
      <c r="K88" s="3" t="str">
        <f ca="1">IFERROR(_xlfn.XLOOKUP(OFFSET('תכנית לשופט זירה ראשי'!$E$32,6,7),TeamList[מס"ד],TeamList[מס'' הקבוצה]),"")</f>
        <v/>
      </c>
    </row>
    <row r="89" spans="1:11" x14ac:dyDescent="0.65">
      <c r="A89">
        <f t="shared" si="2"/>
        <v>44</v>
      </c>
      <c r="B89" s="32">
        <f t="shared" si="4"/>
        <v>0.61458333333333326</v>
      </c>
      <c r="C89" s="32">
        <f t="shared" si="1"/>
        <v>0.61666666666666659</v>
      </c>
      <c r="D89" s="3" t="str">
        <f ca="1">IFERROR(_xlfn.XLOOKUP(OFFSET('תכנית לשופט זירה ראשי'!$E$32,7,0),TeamList[מס"ד],TeamList[מס'' הקבוצה]),"")</f>
        <v/>
      </c>
      <c r="E89" s="3" t="str">
        <f ca="1">IFERROR(_xlfn.XLOOKUP(OFFSET('תכנית לשופט זירה ראשי'!$E$32,7,1),TeamList[מס"ד],TeamList[מס'' הקבוצה]),"")</f>
        <v/>
      </c>
      <c r="F89" s="3" t="str">
        <f ca="1">IFERROR(_xlfn.XLOOKUP(OFFSET('תכנית לשופט זירה ראשי'!$E$32,7,2),TeamList[מס"ד],TeamList[מס'' הקבוצה]),"")</f>
        <v/>
      </c>
      <c r="G89" s="3" t="str">
        <f ca="1">IFERROR(_xlfn.XLOOKUP(OFFSET('תכנית לשופט זירה ראשי'!$E$32,7,3),TeamList[מס"ד],TeamList[מס'' הקבוצה]),"")</f>
        <v/>
      </c>
      <c r="H89" s="3">
        <f ca="1">IFERROR(_xlfn.XLOOKUP(OFFSET('תכנית לשופט זירה ראשי'!$E$32,7,4),TeamList[מס"ד],TeamList[מס'' הקבוצה]),"")</f>
        <v>662</v>
      </c>
      <c r="I89" s="3">
        <f ca="1">IFERROR(_xlfn.XLOOKUP(OFFSET('תכנית לשופט זירה ראשי'!$E$32,7,5),TeamList[מס"ד],TeamList[מס'' הקבוצה]),"")</f>
        <v>1333</v>
      </c>
      <c r="J89" s="3">
        <f ca="1">IFERROR(_xlfn.XLOOKUP(OFFSET('תכנית לשופט זירה ראשי'!$E$32,7,6),TeamList[מס"ד],TeamList[מס'' הקבוצה]),"")</f>
        <v>3182</v>
      </c>
      <c r="K89" s="3">
        <f ca="1">IFERROR(_xlfn.XLOOKUP(OFFSET('תכנית לשופט זירה ראשי'!$E$32,7,7),TeamList[מס"ד],TeamList[מס'' הקבוצה]),"")</f>
        <v>1301</v>
      </c>
    </row>
    <row r="90" spans="1:11" x14ac:dyDescent="0.65">
      <c r="A90">
        <f t="shared" si="2"/>
        <v>45</v>
      </c>
      <c r="B90" s="32">
        <f t="shared" si="4"/>
        <v>0.61805555555555547</v>
      </c>
      <c r="C90" s="32">
        <f t="shared" si="1"/>
        <v>0.6201388888888888</v>
      </c>
      <c r="D90" s="3">
        <f ca="1">IFERROR(_xlfn.XLOOKUP(OFFSET('תכנית לשופט זירה ראשי'!$E$32,8,0),TeamList[מס"ד],TeamList[מס'' הקבוצה]),"")</f>
        <v>2622</v>
      </c>
      <c r="E90" s="3">
        <f ca="1">IFERROR(_xlfn.XLOOKUP(OFFSET('תכנית לשופט זירה ראשי'!$E$32,8,1),TeamList[מס"ד],TeamList[מס'' הקבוצה]),"")</f>
        <v>1324</v>
      </c>
      <c r="F90" s="3">
        <f ca="1">IFERROR(_xlfn.XLOOKUP(OFFSET('תכנית לשופט זירה ראשי'!$E$32,8,2),TeamList[מס"ד],TeamList[מס'' הקבוצה]),"")</f>
        <v>1214</v>
      </c>
      <c r="G90" s="3">
        <f ca="1">IFERROR(_xlfn.XLOOKUP(OFFSET('תכנית לשופט זירה ראשי'!$E$32,8,3),TeamList[מס"ד],TeamList[מס'' הקבוצה]),"")</f>
        <v>1616</v>
      </c>
      <c r="H90" s="3" t="str">
        <f ca="1">IFERROR(_xlfn.XLOOKUP(OFFSET('תכנית לשופט זירה ראשי'!$E$32,8,4),TeamList[מס"ד],TeamList[מס'' הקבוצה]),"")</f>
        <v/>
      </c>
      <c r="I90" s="3" t="str">
        <f ca="1">IFERROR(_xlfn.XLOOKUP(OFFSET('תכנית לשופט זירה ראשי'!$E$32,8,5),TeamList[מס"ד],TeamList[מס'' הקבוצה]),"")</f>
        <v/>
      </c>
      <c r="J90" s="3" t="str">
        <f ca="1">IFERROR(_xlfn.XLOOKUP(OFFSET('תכנית לשופט זירה ראשי'!$E$32,8,6),TeamList[מס"ד],TeamList[מס'' הקבוצה]),"")</f>
        <v/>
      </c>
      <c r="K90" s="3" t="str">
        <f ca="1">IFERROR(_xlfn.XLOOKUP(OFFSET('תכנית לשופט זירה ראשי'!$E$32,8,7),TeamList[מס"ד],TeamList[מס'' הקבוצה]),"")</f>
        <v/>
      </c>
    </row>
    <row r="91" spans="1:11" x14ac:dyDescent="0.65">
      <c r="A91">
        <f t="shared" si="2"/>
        <v>46</v>
      </c>
      <c r="B91" s="32">
        <f t="shared" si="4"/>
        <v>0.62152777777777768</v>
      </c>
      <c r="C91" s="32">
        <f t="shared" si="1"/>
        <v>0.62361111111111101</v>
      </c>
      <c r="D91" s="3" t="str">
        <f ca="1">IFERROR(_xlfn.XLOOKUP(OFFSET('תכנית לשופט זירה ראשי'!$E$32,9,0),TeamList[מס"ד],TeamList[מס'' הקבוצה]),"")</f>
        <v/>
      </c>
      <c r="E91" s="3" t="str">
        <f ca="1">IFERROR(_xlfn.XLOOKUP(OFFSET('תכנית לשופט זירה ראשי'!$E$32,9,1),TeamList[מס"ד],TeamList[מס'' הקבוצה]),"")</f>
        <v/>
      </c>
      <c r="F91" s="3" t="str">
        <f ca="1">IFERROR(_xlfn.XLOOKUP(OFFSET('תכנית לשופט זירה ראשי'!$E$32,9,2),TeamList[מס"ד],TeamList[מס'' הקבוצה]),"")</f>
        <v/>
      </c>
      <c r="G91" s="3" t="str">
        <f ca="1">IFERROR(_xlfn.XLOOKUP(OFFSET('תכנית לשופט זירה ראשי'!$E$32,9,3),TeamList[מס"ד],TeamList[מס'' הקבוצה]),"")</f>
        <v/>
      </c>
      <c r="H91" s="3">
        <f ca="1">IFERROR(_xlfn.XLOOKUP(OFFSET('תכנית לשופט זירה ראשי'!$E$32,9,4),TeamList[מס"ד],TeamList[מס'' הקבוצה]),"")</f>
        <v>3340</v>
      </c>
      <c r="I91" s="3">
        <f ca="1">IFERROR(_xlfn.XLOOKUP(OFFSET('תכנית לשופט זירה ראשי'!$E$32,9,5),TeamList[מס"ד],TeamList[מס'' הקבוצה]),"")</f>
        <v>1300</v>
      </c>
      <c r="J91" s="3">
        <f ca="1">IFERROR(_xlfn.XLOOKUP(OFFSET('תכנית לשופט זירה ראשי'!$E$32,9,6),TeamList[מס"ד],TeamList[מס'' הקבוצה]),"")</f>
        <v>1099</v>
      </c>
      <c r="K91" s="3">
        <f ca="1">IFERROR(_xlfn.XLOOKUP(OFFSET('תכנית לשופט זירה ראשי'!$E$32,9,7),TeamList[מס"ד],TeamList[מס'' הקבוצה]),"")</f>
        <v>3128</v>
      </c>
    </row>
    <row r="92" spans="1:11" x14ac:dyDescent="0.65">
      <c r="A92">
        <f t="shared" si="2"/>
        <v>47</v>
      </c>
      <c r="B92" s="32">
        <f t="shared" si="4"/>
        <v>0.62499999999999989</v>
      </c>
      <c r="C92" s="32">
        <f t="shared" si="1"/>
        <v>0.62708333333333321</v>
      </c>
      <c r="D92" s="3">
        <f ca="1">IFERROR(_xlfn.XLOOKUP(OFFSET('תכנית לשופט זירה ראשי'!$E$32,10,0),TeamList[מס"ד],TeamList[מס'' הקבוצה]),"")</f>
        <v>3184</v>
      </c>
      <c r="E92" s="3">
        <f ca="1">IFERROR(_xlfn.XLOOKUP(OFFSET('תכנית לשופט זירה ראשי'!$E$32,10,1),TeamList[מס"ד],TeamList[מס'' הקבוצה]),"")</f>
        <v>3294</v>
      </c>
      <c r="F92" s="3">
        <f ca="1">IFERROR(_xlfn.XLOOKUP(OFFSET('תכנית לשופט זירה ראשי'!$E$32,10,2),TeamList[מס"ד],TeamList[מס'' הקבוצה]),"")</f>
        <v>1332</v>
      </c>
      <c r="G92" s="3">
        <f ca="1">IFERROR(_xlfn.XLOOKUP(OFFSET('תכנית לשופט זירה ראשי'!$E$32,10,3),TeamList[מס"ד],TeamList[מס'' הקבוצה]),"")</f>
        <v>2748</v>
      </c>
      <c r="H92" s="3" t="str">
        <f ca="1">IFERROR(_xlfn.XLOOKUP(OFFSET('תכנית לשופט זירה ראשי'!$E$32,10,4),TeamList[מס"ד],TeamList[מס'' הקבוצה]),"")</f>
        <v/>
      </c>
      <c r="I92" s="3" t="str">
        <f ca="1">IFERROR(_xlfn.XLOOKUP(OFFSET('תכנית לשופט זירה ראשי'!$E$32,10,5),TeamList[מס"ד],TeamList[מס'' הקבוצה]),"")</f>
        <v/>
      </c>
      <c r="J92" s="3" t="str">
        <f ca="1">IFERROR(_xlfn.XLOOKUP(OFFSET('תכנית לשופט זירה ראשי'!$E$32,10,6),TeamList[מס"ד],TeamList[מס'' הקבוצה]),"")</f>
        <v/>
      </c>
      <c r="K92" s="3" t="str">
        <f ca="1">IFERROR(_xlfn.XLOOKUP(OFFSET('תכנית לשופט זירה ראשי'!$E$32,10,7),TeamList[מס"ד],TeamList[מס'' הקבוצה]),"")</f>
        <v/>
      </c>
    </row>
    <row r="93" spans="1:11" x14ac:dyDescent="0.65">
      <c r="A93" s="80">
        <f t="shared" si="2"/>
        <v>48</v>
      </c>
      <c r="B93" s="81">
        <f>start_round_III+(A93-RM*3-1)*ORM</f>
        <v>0.6284722222222221</v>
      </c>
      <c r="C93" s="81">
        <f>B93+TIME(0,3,0)</f>
        <v>0.63055555555555542</v>
      </c>
      <c r="D93" s="82" t="str">
        <f ca="1">IFERROR(_xlfn.XLOOKUP(OFFSET('תכנית לשופט זירה ראשי'!$E$32,11,0),TeamList[מס"ד],TeamList[מס'' הקבוצה]),"")</f>
        <v/>
      </c>
      <c r="E93" s="82" t="str">
        <f ca="1">IFERROR(_xlfn.XLOOKUP(OFFSET('תכנית לשופט זירה ראשי'!$E$32,11,1),TeamList[מס"ד],TeamList[מס'' הקבוצה]),"")</f>
        <v/>
      </c>
      <c r="F93" s="82" t="str">
        <f ca="1">IFERROR(_xlfn.XLOOKUP(OFFSET('תכנית לשופט זירה ראשי'!$E$32,11,2),TeamList[מס"ד],TeamList[מס'' הקבוצה]),"")</f>
        <v/>
      </c>
      <c r="G93" s="82" t="str">
        <f ca="1">IFERROR(_xlfn.XLOOKUP(OFFSET('תכנית לשופט זירה ראשי'!$E$32,11,3),TeamList[מס"ד],TeamList[מס'' הקבוצה]),"")</f>
        <v/>
      </c>
      <c r="H93" s="82">
        <f ca="1">IFERROR(_xlfn.XLOOKUP(OFFSET('תכנית לשופט זירה ראשי'!$E$32,11,4),TeamList[מס"ד],TeamList[מס'' הקבוצה]),"")</f>
        <v>2130</v>
      </c>
      <c r="I93" s="82">
        <f ca="1">IFERROR(_xlfn.XLOOKUP(OFFSET('תכנית לשופט זירה ראשי'!$E$32,11,5),TeamList[מס"ד],TeamList[מס'' הקבוצה]),"")</f>
        <v>3006</v>
      </c>
      <c r="J93" s="82">
        <f ca="1">IFERROR(_xlfn.XLOOKUP(OFFSET('תכנית לשופט זירה ראשי'!$E$32,11,6),TeamList[מס"ד],TeamList[מס'' הקבוצה]),"")</f>
        <v>1720</v>
      </c>
      <c r="K93" s="82">
        <f ca="1">IFERROR(_xlfn.XLOOKUP(OFFSET('תכנית לשופט זירה ראשי'!$E$32,11,7),TeamList[מס"ד],TeamList[מס'' הקבוצה]),"")</f>
        <v>2843</v>
      </c>
    </row>
    <row r="94" spans="1:11" x14ac:dyDescent="0.65">
      <c r="A94" t="s">
        <v>42</v>
      </c>
      <c r="B94" s="1">
        <v>3</v>
      </c>
    </row>
    <row r="95" spans="1:11" x14ac:dyDescent="0.65">
      <c r="A95" t="s">
        <v>49</v>
      </c>
      <c r="B95" s="1">
        <v>1</v>
      </c>
    </row>
    <row r="96" spans="1:11" x14ac:dyDescent="0.65">
      <c r="A96" t="s">
        <v>50</v>
      </c>
      <c r="B96" s="1">
        <f>ROUNDUP(N/ROOMS,0)</f>
        <v>7</v>
      </c>
    </row>
    <row r="97" spans="1:11" x14ac:dyDescent="0.65">
      <c r="A97" t="s">
        <v>51</v>
      </c>
      <c r="B97" s="1">
        <f>ROOMS</f>
        <v>7</v>
      </c>
    </row>
    <row r="98" spans="1:11" x14ac:dyDescent="0.65">
      <c r="A98" t="s">
        <v>52</v>
      </c>
      <c r="B98" s="1" t="s">
        <v>2</v>
      </c>
    </row>
    <row r="99" spans="1:11" x14ac:dyDescent="0.65">
      <c r="A99" t="s">
        <v>54</v>
      </c>
      <c r="B99" s="137" t="str">
        <f>'תכנית לפי קבוצות'!$AA$3</f>
        <v>1 אדום</v>
      </c>
      <c r="C99" s="137" t="str">
        <f>'תכנית לפי קבוצות'!$AA$4</f>
        <v>2 אדום</v>
      </c>
      <c r="D99" s="137" t="str">
        <f>'תכנית לפי קבוצות'!$AA$5</f>
        <v>3 אדום</v>
      </c>
      <c r="E99" s="137" t="str">
        <f>'תכנית לפי קבוצות'!$AA$6</f>
        <v>4 אדום</v>
      </c>
      <c r="F99" s="137" t="str">
        <f>'תכנית לפי קבוצות'!$AA$7</f>
        <v>5 אדום</v>
      </c>
      <c r="G99" s="137" t="str">
        <f>'תכנית לפי קבוצות'!$AA$8</f>
        <v>6 אדום</v>
      </c>
      <c r="H99" s="137" t="str">
        <f>'תכנית לפי קבוצות'!$AA$9</f>
        <v>7 אדום</v>
      </c>
      <c r="I99" s="137"/>
    </row>
    <row r="100" spans="1:11" x14ac:dyDescent="0.65">
      <c r="A100">
        <v>1</v>
      </c>
      <c r="B100" s="32">
        <f>'תכנית חדרי שיפוט'!$B3</f>
        <v>0.36458333333333331</v>
      </c>
      <c r="C100" s="32">
        <f t="shared" ref="C100:C106" si="5">B100+JS</f>
        <v>0.3833333333333333</v>
      </c>
      <c r="D100" s="3">
        <f ca="1">IFERROR(_xlfn.XLOOKUP('תכנית חדרי שיפוט'!D3,TeamList[מס"ד],TeamList[מס'' הקבוצה]),"")</f>
        <v>3163</v>
      </c>
      <c r="E100" s="3">
        <f ca="1">IFERROR(_xlfn.XLOOKUP('תכנית חדרי שיפוט'!E3,TeamList[מס"ד],TeamList[מס'' הקבוצה]),"")</f>
        <v>3180</v>
      </c>
      <c r="F100" s="3">
        <f ca="1">IFERROR(_xlfn.XLOOKUP('תכנית חדרי שיפוט'!F3,TeamList[מס"ד],TeamList[מס'' הקבוצה]),"")</f>
        <v>1042</v>
      </c>
      <c r="G100" s="3">
        <f ca="1">IFERROR(_xlfn.XLOOKUP('תכנית חדרי שיפוט'!G3,TeamList[מס"ד],TeamList[מס'' הקבוצה]),"")</f>
        <v>1825</v>
      </c>
      <c r="H100" s="3">
        <f ca="1">IFERROR(_xlfn.XLOOKUP('תכנית חדרי שיפוט'!H3,TeamList[מס"ד],TeamList[מס'' הקבוצה]),"")</f>
        <v>3243</v>
      </c>
      <c r="I100" s="3">
        <f ca="1">IFERROR(_xlfn.XLOOKUP('תכנית חדרי שיפוט'!I3,TeamList[מס"ד],TeamList[מס'' הקבוצה]),"")</f>
        <v>2954</v>
      </c>
      <c r="J100" s="3">
        <f ca="1">IFERROR(_xlfn.XLOOKUP('תכנית חדרי שיפוט'!J3,TeamList[מס"ד],TeamList[מס'' הקבוצה]),"")</f>
        <v>2623</v>
      </c>
      <c r="K100" s="3" t="str">
        <f>IFERROR(_xlfn.XLOOKUP('תכנית חדרי שיפוט'!#REF!,TeamList[מס"ד],TeamList[מס'' הקבוצה]),"")</f>
        <v/>
      </c>
    </row>
    <row r="101" spans="1:11" x14ac:dyDescent="0.65">
      <c r="A101">
        <v>2</v>
      </c>
      <c r="B101" s="32">
        <f>'תכנית חדרי שיפוט'!$B4</f>
        <v>0.39583333333333331</v>
      </c>
      <c r="C101" s="32">
        <f t="shared" si="5"/>
        <v>0.4145833333333333</v>
      </c>
      <c r="D101" s="3">
        <f ca="1">IFERROR(_xlfn.XLOOKUP('תכנית חדרי שיפוט'!D4,TeamList[מס"ד],TeamList[מס'' הקבוצה]),"")</f>
        <v>2978</v>
      </c>
      <c r="E101" s="3">
        <f ca="1">IFERROR(_xlfn.XLOOKUP('תכנית חדרי שיפוט'!E4,TeamList[מס"ד],TeamList[מס'' הקבוצה]),"")</f>
        <v>588</v>
      </c>
      <c r="F101" s="3">
        <f ca="1">IFERROR(_xlfn.XLOOKUP('תכנית חדרי שיפוט'!F4,TeamList[מס"ד],TeamList[מס'' הקבוצה]),"")</f>
        <v>1371</v>
      </c>
      <c r="G101" s="3">
        <f ca="1">IFERROR(_xlfn.XLOOKUP('תכנית חדרי שיפוט'!G4,TeamList[מס"ד],TeamList[מס'' הקבוצה]),"")</f>
        <v>3139</v>
      </c>
      <c r="H101" s="3">
        <f ca="1">IFERROR(_xlfn.XLOOKUP('תכנית חדרי שיפוט'!H4,TeamList[מס"ד],TeamList[מס'' הקבוצה]),"")</f>
        <v>515</v>
      </c>
      <c r="I101" s="3">
        <f ca="1">IFERROR(_xlfn.XLOOKUP('תכנית חדרי שיפוט'!I4,TeamList[מס"ד],TeamList[מס'' הקבוצה]),"")</f>
        <v>3185</v>
      </c>
      <c r="J101" s="3">
        <f ca="1">IFERROR(_xlfn.XLOOKUP('תכנית חדרי שיפוט'!J4,TeamList[מס"ד],TeamList[מס'' הקבוצה]),"")</f>
        <v>3179</v>
      </c>
      <c r="K101" s="3" t="str">
        <f>IFERROR(_xlfn.XLOOKUP('תכנית חדרי שיפוט'!#REF!,TeamList[מס"ד],TeamList[מס'' הקבוצה]),"")</f>
        <v/>
      </c>
    </row>
    <row r="102" spans="1:11" x14ac:dyDescent="0.65">
      <c r="A102">
        <v>3</v>
      </c>
      <c r="B102" s="32">
        <f>'תכנית חדרי שיפוט'!$B5</f>
        <v>0.4375</v>
      </c>
      <c r="C102" s="32">
        <f t="shared" si="5"/>
        <v>0.45624999999999999</v>
      </c>
      <c r="D102" s="3">
        <f ca="1">IFERROR(_xlfn.XLOOKUP('תכנית חדרי שיפוט'!D5,TeamList[מס"ד],TeamList[מס'' הקבוצה]),"")</f>
        <v>3146</v>
      </c>
      <c r="E102" s="3">
        <f ca="1">IFERROR(_xlfn.XLOOKUP('תכנית חדרי שיפוט'!E5,TeamList[מס"ד],TeamList[מס'' הקבוצה]),"")</f>
        <v>2977</v>
      </c>
      <c r="F102" s="3">
        <f ca="1">IFERROR(_xlfn.XLOOKUP('תכנית חדרי שיפוט'!F5,TeamList[מס"ד],TeamList[מס'' הקבוצה]),"")</f>
        <v>1083</v>
      </c>
      <c r="G102" s="3">
        <f ca="1">IFERROR(_xlfn.XLOOKUP('תכנית חדרי שיפוט'!G5,TeamList[מס"ד],TeamList[מס'' הקבוצה]),"")</f>
        <v>1043</v>
      </c>
      <c r="H102" s="3">
        <f ca="1">IFERROR(_xlfn.XLOOKUP('תכנית חדרי שיפוט'!H5,TeamList[מס"ד],TeamList[מס'' הקבוצה]),"")</f>
        <v>341</v>
      </c>
      <c r="I102" s="3">
        <f ca="1">IFERROR(_xlfn.XLOOKUP('תכנית חדרי שיפוט'!I5,TeamList[מס"ד],TeamList[מס'' הקבוצה]),"")</f>
        <v>2222</v>
      </c>
      <c r="J102" s="3">
        <f ca="1">IFERROR(_xlfn.XLOOKUP('תכנית חדרי שיפוט'!J5,TeamList[מס"ד],TeamList[מס'' הקבוצה]),"")</f>
        <v>3181</v>
      </c>
      <c r="K102" s="3" t="str">
        <f>IFERROR(_xlfn.XLOOKUP('תכנית חדרי שיפוט'!#REF!,TeamList[מס"ד],TeamList[מס'' הקבוצה]),"")</f>
        <v/>
      </c>
    </row>
    <row r="103" spans="1:11" x14ac:dyDescent="0.65">
      <c r="A103">
        <v>4</v>
      </c>
      <c r="B103" s="32">
        <f>'תכנית חדרי שיפוט'!$B6</f>
        <v>0.46875</v>
      </c>
      <c r="C103" s="32">
        <f t="shared" si="5"/>
        <v>0.48749999999999999</v>
      </c>
      <c r="D103" s="3">
        <f ca="1">IFERROR(_xlfn.XLOOKUP('תכנית חדרי שיפוט'!D6,TeamList[מס"ד],TeamList[מס'' הקבוצה]),"")</f>
        <v>3022</v>
      </c>
      <c r="E103" s="3">
        <f ca="1">IFERROR(_xlfn.XLOOKUP('תכנית חדרי שיפוט'!E6,TeamList[מס"ד],TeamList[מס'' הקבוצה]),"")</f>
        <v>1152</v>
      </c>
      <c r="F103" s="3">
        <f ca="1">IFERROR(_xlfn.XLOOKUP('תכנית חדרי שיפוט'!F6,TeamList[מס"ד],TeamList[מס'' הקבוצה]),"")</f>
        <v>1864</v>
      </c>
      <c r="G103" s="3">
        <f ca="1">IFERROR(_xlfn.XLOOKUP('תכנית חדרי שיפוט'!G6,TeamList[מס"ד],TeamList[מס'' הקבוצה]),"")</f>
        <v>2840</v>
      </c>
      <c r="H103" s="3">
        <f ca="1">IFERROR(_xlfn.XLOOKUP('תכנית חדרי שיפוט'!H6,TeamList[מס"ד],TeamList[מס'' הקבוצה]),"")</f>
        <v>52</v>
      </c>
      <c r="I103" s="3">
        <f ca="1">IFERROR(_xlfn.XLOOKUP('תכנית חדרי שיפוט'!I6,TeamList[מס"ד],TeamList[מס'' הקבוצה]),"")</f>
        <v>240</v>
      </c>
      <c r="J103" s="3">
        <f ca="1">IFERROR(_xlfn.XLOOKUP('תכנית חדרי שיפוט'!J6,TeamList[מס"ד],TeamList[מס'' הקבוצה]),"")</f>
        <v>1697</v>
      </c>
      <c r="K103" s="3" t="str">
        <f>IFERROR(_xlfn.XLOOKUP('תכנית חדרי שיפוט'!#REF!,TeamList[מס"ד],TeamList[מס'' הקבוצה]),"")</f>
        <v/>
      </c>
    </row>
    <row r="104" spans="1:11" x14ac:dyDescent="0.65">
      <c r="A104">
        <v>5</v>
      </c>
      <c r="B104" s="32">
        <f>'תכנית חדרי שיפוט'!$B7</f>
        <v>0.5</v>
      </c>
      <c r="C104" s="32">
        <f t="shared" si="5"/>
        <v>0.51875000000000004</v>
      </c>
      <c r="D104" s="3">
        <f ca="1">IFERROR(_xlfn.XLOOKUP('תכנית חדרי שיפוט'!D7,TeamList[מס"ד],TeamList[מס'' הקבוצה]),"")</f>
        <v>1333</v>
      </c>
      <c r="E104" s="3">
        <f ca="1">IFERROR(_xlfn.XLOOKUP('תכנית חדרי שיפוט'!E7,TeamList[מס"ד],TeamList[מס'' הקבוצה]),"")</f>
        <v>662</v>
      </c>
      <c r="F104" s="3">
        <f ca="1">IFERROR(_xlfn.XLOOKUP('תכנית חדרי שיפוט'!F7,TeamList[מס"ד],TeamList[מס'' הקבוצה]),"")</f>
        <v>1301</v>
      </c>
      <c r="G104" s="3">
        <f ca="1">IFERROR(_xlfn.XLOOKUP('תכנית חדרי שיפוט'!G7,TeamList[מס"ד],TeamList[מס'' הקבוצה]),"")</f>
        <v>3182</v>
      </c>
      <c r="H104" s="3">
        <f ca="1">IFERROR(_xlfn.XLOOKUP('תכנית חדרי שיפוט'!H7,TeamList[מס"ד],TeamList[מס'' הקבוצה]),"")</f>
        <v>1324</v>
      </c>
      <c r="I104" s="3">
        <f ca="1">IFERROR(_xlfn.XLOOKUP('תכנית חדרי שיפוט'!I7,TeamList[מס"ד],TeamList[מס'' הקבוצה]),"")</f>
        <v>2622</v>
      </c>
      <c r="J104" s="3">
        <f ca="1">IFERROR(_xlfn.XLOOKUP('תכנית חדרי שיפוט'!J7,TeamList[מס"ד],TeamList[מס'' הקבוצה]),"")</f>
        <v>1616</v>
      </c>
      <c r="K104" s="3" t="str">
        <f>IFERROR(_xlfn.XLOOKUP('תכנית חדרי שיפוט'!#REF!,TeamList[מס"ד],TeamList[מס'' הקבוצה]),"")</f>
        <v/>
      </c>
    </row>
    <row r="105" spans="1:11" x14ac:dyDescent="0.65">
      <c r="A105">
        <v>6</v>
      </c>
      <c r="B105" s="32">
        <f>'תכנית חדרי שיפוט'!$B8</f>
        <v>0.56249999999999989</v>
      </c>
      <c r="C105" s="32">
        <f t="shared" si="5"/>
        <v>0.58124999999999993</v>
      </c>
      <c r="D105" s="3">
        <f ca="1">IFERROR(_xlfn.XLOOKUP('תכנית חדרי שיפוט'!D8,TeamList[מס"ד],TeamList[מס'' הקבוצה]),"")</f>
        <v>1214</v>
      </c>
      <c r="E105" s="3">
        <f ca="1">IFERROR(_xlfn.XLOOKUP('תכנית חדרי שיפוט'!E8,TeamList[מס"ד],TeamList[מס'' הקבוצה]),"")</f>
        <v>1300</v>
      </c>
      <c r="F105" s="3">
        <f ca="1">IFERROR(_xlfn.XLOOKUP('תכנית חדרי שיפוט'!F8,TeamList[מס"ד],TeamList[מס'' הקבוצה]),"")</f>
        <v>3340</v>
      </c>
      <c r="G105" s="3">
        <f ca="1">IFERROR(_xlfn.XLOOKUP('תכנית חדרי שיפוט'!G8,TeamList[מס"ד],TeamList[מס'' הקבוצה]),"")</f>
        <v>3128</v>
      </c>
      <c r="H105" s="3">
        <f ca="1">IFERROR(_xlfn.XLOOKUP('תכנית חדרי שיפוט'!H8,TeamList[מס"ד],TeamList[מס'' הקבוצה]),"")</f>
        <v>1099</v>
      </c>
      <c r="I105" s="3">
        <f ca="1">IFERROR(_xlfn.XLOOKUP('תכנית חדרי שיפוט'!I8,TeamList[מס"ד],TeamList[מס'' הקבוצה]),"")</f>
        <v>3294</v>
      </c>
      <c r="J105" s="3">
        <f ca="1">IFERROR(_xlfn.XLOOKUP('תכנית חדרי שיפוט'!J8,TeamList[מס"ד],TeamList[מס'' הקבוצה]),"")</f>
        <v>3184</v>
      </c>
      <c r="K105" s="3" t="str">
        <f>IFERROR(_xlfn.XLOOKUP('תכנית חדרי שיפוט'!#REF!,TeamList[מס"ד],TeamList[מס'' הקבוצה]),"")</f>
        <v/>
      </c>
    </row>
    <row r="106" spans="1:11" x14ac:dyDescent="0.65">
      <c r="A106">
        <v>7</v>
      </c>
      <c r="B106" s="32">
        <f>'תכנית חדרי שיפוט'!$B9</f>
        <v>0.59374999999999989</v>
      </c>
      <c r="C106" s="32">
        <f t="shared" si="5"/>
        <v>0.61249999999999993</v>
      </c>
      <c r="D106" s="3">
        <f ca="1">IFERROR(_xlfn.XLOOKUP('תכנית חדרי שיפוט'!D9,TeamList[מס"ד],TeamList[מס'' הקבוצה]),"")</f>
        <v>2748</v>
      </c>
      <c r="E106" s="3">
        <f ca="1">IFERROR(_xlfn.XLOOKUP('תכנית חדרי שיפוט'!E9,TeamList[מס"ד],TeamList[מס'' הקבוצה]),"")</f>
        <v>1332</v>
      </c>
      <c r="F106" s="3">
        <f ca="1">IFERROR(_xlfn.XLOOKUP('תכנית חדרי שיפוט'!F9,TeamList[מס"ד],TeamList[מס'' הקבוצה]),"")</f>
        <v>3006</v>
      </c>
      <c r="G106" s="3">
        <f ca="1">IFERROR(_xlfn.XLOOKUP('תכנית חדרי שיפוט'!G9,TeamList[מס"ד],TeamList[מס'' הקבוצה]),"")</f>
        <v>2130</v>
      </c>
      <c r="H106" s="3">
        <f ca="1">IFERROR(_xlfn.XLOOKUP('תכנית חדרי שיפוט'!H9,TeamList[מס"ד],TeamList[מס'' הקבוצה]),"")</f>
        <v>2843</v>
      </c>
      <c r="I106" s="3">
        <f ca="1">IFERROR(_xlfn.XLOOKUP('תכנית חדרי שיפוט'!I9,TeamList[מס"ד],TeamList[מס'' הקבוצה]),"")</f>
        <v>1720</v>
      </c>
      <c r="J106" s="3" t="str">
        <f ca="1">IFERROR(_xlfn.XLOOKUP('תכנית חדרי שיפוט'!J9,TeamList[מס"ד],TeamList[מס'' הקבוצה]),"")</f>
        <v/>
      </c>
    </row>
    <row r="107" spans="1:11" x14ac:dyDescent="0.65">
      <c r="A107" t="s">
        <v>42</v>
      </c>
      <c r="B107">
        <v>4</v>
      </c>
    </row>
    <row r="108" spans="1:11" x14ac:dyDescent="0.65">
      <c r="A108" t="s">
        <v>53</v>
      </c>
      <c r="B108">
        <f>RM</f>
        <v>12</v>
      </c>
    </row>
    <row r="109" spans="1:11" x14ac:dyDescent="0.65">
      <c r="A109" t="s">
        <v>45</v>
      </c>
      <c r="B109">
        <v>4</v>
      </c>
    </row>
    <row r="110" spans="1:11" x14ac:dyDescent="0.65">
      <c r="A110" t="s">
        <v>46</v>
      </c>
      <c r="B110">
        <v>2</v>
      </c>
    </row>
    <row r="111" spans="1:11" x14ac:dyDescent="0.65">
      <c r="A111" t="s">
        <v>47</v>
      </c>
      <c r="B111">
        <v>2</v>
      </c>
    </row>
    <row r="112" spans="1:11" x14ac:dyDescent="0.65">
      <c r="A112" t="s">
        <v>48</v>
      </c>
      <c r="B112" s="82" t="str">
        <f>_xlfn.XLOOKUP(1,Table_names[מסד],Table_names[שם מלא])</f>
        <v>1 אדום</v>
      </c>
      <c r="C112" s="82" t="str">
        <f>_xlfn.XLOOKUP(2,Table_names[מסד],Table_names[שם מלא])</f>
        <v>2 אדום</v>
      </c>
      <c r="D112" s="3" t="str">
        <f>_xlfn.XLOOKUP(3,Table_names[מסד],Table_names[שם מלא])</f>
        <v>3 אדום</v>
      </c>
      <c r="E112" s="3" t="str">
        <f>_xlfn.XLOOKUP(4,Table_names[מסד],Table_names[שם מלא])</f>
        <v>4 אדום</v>
      </c>
      <c r="F112" s="3" t="str">
        <f>_xlfn.XLOOKUP(5,Table_names[מסד],Table_names[שם מלא])</f>
        <v>5 אדום</v>
      </c>
      <c r="G112" s="3" t="str">
        <f>_xlfn.XLOOKUP(6,Table_names[מסד],Table_names[שם מלא])</f>
        <v>6 אדום</v>
      </c>
      <c r="H112" s="3" t="str">
        <f>_xlfn.XLOOKUP(7,Table_names[מסד],Table_names[שם מלא])</f>
        <v>7 אדום</v>
      </c>
      <c r="I112" s="3" t="str">
        <f>_xlfn.XLOOKUP(8,Table_names[מסד],Table_names[שם מלא])</f>
        <v>8 אדום</v>
      </c>
    </row>
    <row r="113" spans="1:12" x14ac:dyDescent="0.65">
      <c r="A113">
        <v>1</v>
      </c>
      <c r="B113" s="32">
        <f t="shared" ref="B113:B123" si="6">START+(A113-1)*PM</f>
        <v>0.36458333333333331</v>
      </c>
      <c r="C113" s="32">
        <f t="shared" ref="C113:C123" si="7">B113+TIME(0,3,0)</f>
        <v>0.36666666666666664</v>
      </c>
      <c r="D113" s="46">
        <f ca="1">IFERROR(_xlfn.XLOOKUP(OFFSET('תכנית לשופט זירה ראשי'!$R$4,0,0),TeamList[מס"ד],TeamList[מס'' הקבוצה]),"")</f>
        <v>2978</v>
      </c>
      <c r="E113" s="46">
        <f ca="1">IFERROR(_xlfn.XLOOKUP(OFFSET('תכנית לשופט זירה ראשי'!$R$4,0,1),TeamList[מס"ד],TeamList[מס'' הקבוצה]),"")</f>
        <v>515</v>
      </c>
      <c r="F113" s="46">
        <f ca="1">IFERROR(_xlfn.XLOOKUP(OFFSET('תכנית לשופט זירה ראשי'!$R$4,0,2),TeamList[מס"ד],TeamList[מס'' הקבוצה]),"")</f>
        <v>1083</v>
      </c>
      <c r="G113" s="46">
        <f ca="1">IFERROR(_xlfn.XLOOKUP(OFFSET('תכנית לשופט זירה ראשי'!$R$4,0,3),TeamList[מס"ד],TeamList[מס'' הקבוצה]),"")</f>
        <v>3181</v>
      </c>
      <c r="H113" s="46" t="str">
        <f ca="1">IFERROR(_xlfn.XLOOKUP(OFFSET('תכנית לשופט זירה ראשי'!$R$4,0,4),TeamList[מס"ד],TeamList[מס'' הקבוצה]),"")</f>
        <v/>
      </c>
      <c r="I113" s="46" t="str">
        <f ca="1">IFERROR(_xlfn.XLOOKUP(OFFSET('תכנית לשופט זירה ראשי'!$R$4,0,5),TeamList[מס"ד],TeamList[מס'' הקבוצה]),"")</f>
        <v/>
      </c>
      <c r="J113" s="46" t="str">
        <f ca="1">IFERROR(_xlfn.XLOOKUP(OFFSET('תכנית לשופט זירה ראשי'!$R$4,0,6),TeamList[מס"ד],TeamList[מס'' הקבוצה]),"")</f>
        <v/>
      </c>
      <c r="K113" s="46" t="str">
        <f ca="1">IFERROR(_xlfn.XLOOKUP(OFFSET('תכנית לשופט זירה ראשי'!$R$4,0,7),TeamList[מס"ד],TeamList[מס'' הקבוצה]),"")</f>
        <v/>
      </c>
      <c r="L113" s="3" t="str">
        <f>IF('תכנית לשופט זירה ראשי'!Z4&gt;0,'תכנית לשופט זירה ראשי'!Z4,"")</f>
        <v/>
      </c>
    </row>
    <row r="114" spans="1:12" x14ac:dyDescent="0.65">
      <c r="A114">
        <v>2</v>
      </c>
      <c r="B114" s="32">
        <f t="shared" si="6"/>
        <v>0.36874999999999997</v>
      </c>
      <c r="C114" s="32">
        <f t="shared" si="7"/>
        <v>0.37083333333333329</v>
      </c>
      <c r="D114" s="3" t="str">
        <f ca="1">IFERROR(_xlfn.XLOOKUP(OFFSET('תכנית לשופט זירה ראשי'!$R$4,1,0),TeamList[מס"ד],TeamList[מס'' הקבוצה]),"")</f>
        <v/>
      </c>
      <c r="E114" s="3" t="str">
        <f ca="1">IFERROR(_xlfn.XLOOKUP(OFFSET('תכנית לשופט זירה ראשי'!$R$4,1,1),TeamList[מס"ד],TeamList[מס'' הקבוצה]),"")</f>
        <v/>
      </c>
      <c r="F114" s="3" t="str">
        <f ca="1">IFERROR(_xlfn.XLOOKUP(OFFSET('תכנית לשופט זירה ראשי'!$R$4,1,2),TeamList[מס"ד],TeamList[מס'' הקבוצה]),"")</f>
        <v/>
      </c>
      <c r="G114" s="3" t="str">
        <f ca="1">IFERROR(_xlfn.XLOOKUP(OFFSET('תכנית לשופט זירה ראשי'!$R$4,1,3),TeamList[מס"ד],TeamList[מס'' הקבוצה]),"")</f>
        <v/>
      </c>
      <c r="H114" s="3">
        <f ca="1">IFERROR(_xlfn.XLOOKUP(OFFSET('תכנית לשופט זירה ראשי'!$R$4,1,4),TeamList[מס"ד],TeamList[מס'' הקבוצה]),"")</f>
        <v>588</v>
      </c>
      <c r="I114" s="3">
        <f ca="1">IFERROR(_xlfn.XLOOKUP(OFFSET('תכנית לשופט זירה ראשי'!$R$4,1,5),TeamList[מס"ד],TeamList[מס'' הקבוצה]),"")</f>
        <v>3185</v>
      </c>
      <c r="J114" s="3">
        <f ca="1">IFERROR(_xlfn.XLOOKUP(OFFSET('תכנית לשופט זירה ראשי'!$R$4,1,6),TeamList[מס"ד],TeamList[מס'' הקבוצה]),"")</f>
        <v>1043</v>
      </c>
      <c r="K114" s="3">
        <f ca="1">IFERROR(_xlfn.XLOOKUP(OFFSET('תכנית לשופט זירה ראשי'!$R$4,1,7),TeamList[מס"ד],TeamList[מס'' הקבוצה]),"")</f>
        <v>3022</v>
      </c>
      <c r="L114" s="3" t="str">
        <f>IF('תכנית לשופט זירה ראשי'!Z5&gt;0,'תכנית לשופט זירה ראשי'!Z5,"")</f>
        <v/>
      </c>
    </row>
    <row r="115" spans="1:12" x14ac:dyDescent="0.65">
      <c r="A115">
        <v>3</v>
      </c>
      <c r="B115" s="32">
        <f t="shared" si="6"/>
        <v>0.37291666666666667</v>
      </c>
      <c r="C115" s="32">
        <f t="shared" si="7"/>
        <v>0.375</v>
      </c>
      <c r="D115" s="3">
        <f ca="1">IFERROR(_xlfn.XLOOKUP(OFFSET('תכנית לשופט זירה ראשי'!$R$4,2,0),TeamList[מס"ד],TeamList[מס'' הקבוצה]),"")</f>
        <v>1371</v>
      </c>
      <c r="E115" s="3">
        <f ca="1">IFERROR(_xlfn.XLOOKUP(OFFSET('תכנית לשופט זירה ראשי'!$R$4,2,1),TeamList[מס"ד],TeamList[מס'' הקבוצה]),"")</f>
        <v>3179</v>
      </c>
      <c r="F115" s="3">
        <f ca="1">IFERROR(_xlfn.XLOOKUP(OFFSET('תכנית לשופט זירה ראשי'!$R$4,2,2),TeamList[מס"ד],TeamList[מס'' הקבוצה]),"")</f>
        <v>341</v>
      </c>
      <c r="G115" s="3">
        <f ca="1">IFERROR(_xlfn.XLOOKUP(OFFSET('תכנית לשופט זירה ראשי'!$R$4,2,3),TeamList[מס"ד],TeamList[מס'' הקבוצה]),"")</f>
        <v>1152</v>
      </c>
      <c r="H115" s="3" t="str">
        <f ca="1">IFERROR(_xlfn.XLOOKUP(OFFSET('תכנית לשופט זירה ראשי'!$R$4,2,4),TeamList[מס"ד],TeamList[מס'' הקבוצה]),"")</f>
        <v/>
      </c>
      <c r="I115" s="3" t="str">
        <f ca="1">IFERROR(_xlfn.XLOOKUP(OFFSET('תכנית לשופט זירה ראשי'!$R$4,2,5),TeamList[מס"ד],TeamList[מס'' הקבוצה]),"")</f>
        <v/>
      </c>
      <c r="J115" s="3" t="str">
        <f ca="1">IFERROR(_xlfn.XLOOKUP(OFFSET('תכנית לשופט זירה ראשי'!$R$4,2,6),TeamList[מס"ד],TeamList[מס'' הקבוצה]),"")</f>
        <v/>
      </c>
      <c r="K115" s="3" t="str">
        <f ca="1">IFERROR(_xlfn.XLOOKUP(OFFSET('תכנית לשופט זירה ראשי'!$R$4,2,7),TeamList[מס"ד],TeamList[מס'' הקבוצה]),"")</f>
        <v/>
      </c>
      <c r="L115" s="3" t="str">
        <f>IF('תכנית לשופט זירה ראשי'!Z6&gt;0,'תכנית לשופט זירה ראשי'!Z6,"")</f>
        <v/>
      </c>
    </row>
    <row r="116" spans="1:12" x14ac:dyDescent="0.65">
      <c r="A116">
        <v>4</v>
      </c>
      <c r="B116" s="32">
        <f t="shared" si="6"/>
        <v>0.37708333333333333</v>
      </c>
      <c r="C116" s="32">
        <f t="shared" si="7"/>
        <v>0.37916666666666665</v>
      </c>
      <c r="D116" s="3" t="str">
        <f ca="1">IFERROR(_xlfn.XLOOKUP(OFFSET('תכנית לשופט זירה ראשי'!$R$4,3,0),TeamList[מס"ד],TeamList[מס'' הקבוצה]),"")</f>
        <v/>
      </c>
      <c r="E116" s="3" t="str">
        <f ca="1">IFERROR(_xlfn.XLOOKUP(OFFSET('תכנית לשופט זירה ראשי'!$R$4,3,1),TeamList[מס"ד],TeamList[מס'' הקבוצה]),"")</f>
        <v/>
      </c>
      <c r="F116" s="3" t="str">
        <f ca="1">IFERROR(_xlfn.XLOOKUP(OFFSET('תכנית לשופט זירה ראשי'!$R$4,3,2),TeamList[מס"ד],TeamList[מס'' הקבוצה]),"")</f>
        <v/>
      </c>
      <c r="G116" s="3" t="str">
        <f ca="1">IFERROR(_xlfn.XLOOKUP(OFFSET('תכנית לשופט זירה ראשי'!$R$4,3,3),TeamList[מס"ד],TeamList[מס'' הקבוצה]),"")</f>
        <v/>
      </c>
      <c r="H116" s="3">
        <f ca="1">IFERROR(_xlfn.XLOOKUP(OFFSET('תכנית לשופט זירה ראשי'!$R$4,3,4),TeamList[מס"ד],TeamList[מס'' הקבוצה]),"")</f>
        <v>3139</v>
      </c>
      <c r="I116" s="3">
        <f ca="1">IFERROR(_xlfn.XLOOKUP(OFFSET('תכנית לשופט זירה ראשי'!$R$4,3,5),TeamList[מס"ד],TeamList[מס'' הקבוצה]),"")</f>
        <v>3146</v>
      </c>
      <c r="J116" s="3">
        <f ca="1">IFERROR(_xlfn.XLOOKUP(OFFSET('תכנית לשופט זירה ראשי'!$R$4,3,6),TeamList[מס"ד],TeamList[מס'' הקבוצה]),"")</f>
        <v>2222</v>
      </c>
      <c r="K116" s="3">
        <f ca="1">IFERROR(_xlfn.XLOOKUP(OFFSET('תכנית לשופט זירה ראשי'!$R$4,3,7),TeamList[מס"ד],TeamList[מס'' הקבוצה]),"")</f>
        <v>1864</v>
      </c>
      <c r="L116" s="3" t="str">
        <f>IF('תכנית לשופט זירה ראשי'!Z7&gt;0,'תכנית לשופט זירה ראשי'!Z7,"")</f>
        <v/>
      </c>
    </row>
    <row r="117" spans="1:12" x14ac:dyDescent="0.65">
      <c r="A117">
        <v>5</v>
      </c>
      <c r="B117" s="32">
        <f t="shared" si="6"/>
        <v>0.38124999999999998</v>
      </c>
      <c r="C117" s="32">
        <f t="shared" si="7"/>
        <v>0.3833333333333333</v>
      </c>
      <c r="D117" s="3">
        <f ca="1">IFERROR(_xlfn.XLOOKUP(OFFSET('תכנית לשופט זירה ראשי'!$R$4,4,0),TeamList[מס"ד],TeamList[מס'' הקבוצה]),"")</f>
        <v>2840</v>
      </c>
      <c r="E117" s="3">
        <f ca="1">IFERROR(_xlfn.XLOOKUP(OFFSET('תכנית לשופט זירה ראשי'!$R$4,4,1),TeamList[מס"ד],TeamList[מס'' הקבוצה]),"")</f>
        <v>1333</v>
      </c>
      <c r="F117" s="3">
        <f ca="1">IFERROR(_xlfn.XLOOKUP(OFFSET('תכנית לשופט זירה ראשי'!$R$4,4,2),TeamList[מס"ד],TeamList[מס'' הקבוצה]),"")</f>
        <v>1324</v>
      </c>
      <c r="G117" s="3">
        <f ca="1">IFERROR(_xlfn.XLOOKUP(OFFSET('תכנית לשופט זירה ראשי'!$R$4,4,3),TeamList[מס"ד],TeamList[מס'' הקבוצה]),"")</f>
        <v>1300</v>
      </c>
      <c r="H117" s="3" t="str">
        <f ca="1">IFERROR(_xlfn.XLOOKUP(OFFSET('תכנית לשופט זירה ראשי'!$R$4,4,4),TeamList[מס"ד],TeamList[מס'' הקבוצה]),"")</f>
        <v/>
      </c>
      <c r="I117" s="3" t="str">
        <f ca="1">IFERROR(_xlfn.XLOOKUP(OFFSET('תכנית לשופט זירה ראשי'!$R$4,4,5),TeamList[מס"ד],TeamList[מס'' הקבוצה]),"")</f>
        <v/>
      </c>
      <c r="J117" s="3" t="str">
        <f ca="1">IFERROR(_xlfn.XLOOKUP(OFFSET('תכנית לשופט זירה ראשי'!$R$4,4,6),TeamList[מס"ד],TeamList[מס'' הקבוצה]),"")</f>
        <v/>
      </c>
      <c r="K117" s="3" t="str">
        <f ca="1">IFERROR(_xlfn.XLOOKUP(OFFSET('תכנית לשופט זירה ראשי'!$R$4,4,7),TeamList[מס"ד],TeamList[מס'' הקבוצה]),"")</f>
        <v/>
      </c>
      <c r="L117" s="3" t="str">
        <f>IF('תכנית לשופט זירה ראשי'!Z8&gt;0,'תכנית לשופט זירה ראשי'!Z8,"")</f>
        <v/>
      </c>
    </row>
    <row r="118" spans="1:12" x14ac:dyDescent="0.65">
      <c r="A118">
        <v>6</v>
      </c>
      <c r="B118" s="32">
        <f t="shared" si="6"/>
        <v>0.38541666666666663</v>
      </c>
      <c r="C118" s="32">
        <f t="shared" si="7"/>
        <v>0.38749999999999996</v>
      </c>
      <c r="D118" s="3" t="str">
        <f ca="1">IFERROR(_xlfn.XLOOKUP(OFFSET('תכנית לשופט זירה ראשי'!$R$4,5,0),TeamList[מס"ד],TeamList[מס'' הקבוצה]),"")</f>
        <v/>
      </c>
      <c r="E118" s="3" t="str">
        <f ca="1">IFERROR(_xlfn.XLOOKUP(OFFSET('תכנית לשופט זירה ראשי'!$R$4,5,1),TeamList[מס"ד],TeamList[מס'' הקבוצה]),"")</f>
        <v/>
      </c>
      <c r="F118" s="3" t="str">
        <f ca="1">IFERROR(_xlfn.XLOOKUP(OFFSET('תכנית לשופט זירה ראשי'!$R$4,5,2),TeamList[מס"ד],TeamList[מס'' הקבוצה]),"")</f>
        <v/>
      </c>
      <c r="G118" s="3" t="str">
        <f ca="1">IFERROR(_xlfn.XLOOKUP(OFFSET('תכנית לשופט זירה ראשי'!$R$4,5,3),TeamList[מס"ד],TeamList[מס'' הקבוצה]),"")</f>
        <v/>
      </c>
      <c r="H118" s="3">
        <f ca="1">IFERROR(_xlfn.XLOOKUP(OFFSET('תכנית לשופט זירה ראשי'!$R$4,5,4),TeamList[מס"ד],TeamList[מס'' הקבוצה]),"")</f>
        <v>52</v>
      </c>
      <c r="I118" s="3">
        <f ca="1">IFERROR(_xlfn.XLOOKUP(OFFSET('תכנית לשופט זירה ראשי'!$R$4,5,5),TeamList[מס"ד],TeamList[מס'' הקבוצה]),"")</f>
        <v>662</v>
      </c>
      <c r="J118" s="3">
        <f ca="1">IFERROR(_xlfn.XLOOKUP(OFFSET('תכנית לשופט זירה ראשי'!$R$4,5,6),TeamList[מס"ד],TeamList[מס'' הקבוצה]),"")</f>
        <v>2622</v>
      </c>
      <c r="K118" s="3">
        <f ca="1">IFERROR(_xlfn.XLOOKUP(OFFSET('תכנית לשופט זירה ראשי'!$R$4,5,7),TeamList[מס"ד],TeamList[מס'' הקבוצה]),"")</f>
        <v>3340</v>
      </c>
      <c r="L118" s="3" t="str">
        <f>IF('תכנית לשופט זירה ראשי'!Z9&gt;0,'תכנית לשופט זירה ראשי'!Z9,"")</f>
        <v/>
      </c>
    </row>
    <row r="119" spans="1:12" x14ac:dyDescent="0.65">
      <c r="A119">
        <v>7</v>
      </c>
      <c r="B119" s="32">
        <f t="shared" si="6"/>
        <v>0.38958333333333334</v>
      </c>
      <c r="C119" s="32">
        <f t="shared" si="7"/>
        <v>0.39166666666666666</v>
      </c>
      <c r="D119" s="3">
        <f ca="1">IFERROR(_xlfn.XLOOKUP(OFFSET('תכנית לשופט זירה ראשי'!$R$4,6,0),TeamList[מס"ד],TeamList[מס'' הקבוצה]),"")</f>
        <v>240</v>
      </c>
      <c r="E119" s="3">
        <f ca="1">IFERROR(_xlfn.XLOOKUP(OFFSET('תכנית לשופט זירה ראשי'!$R$4,6,1),TeamList[מס"ד],TeamList[מס'' הקבוצה]),"")</f>
        <v>1301</v>
      </c>
      <c r="F119" s="3">
        <f ca="1">IFERROR(_xlfn.XLOOKUP(OFFSET('תכנית לשופט זירה ראשי'!$R$4,6,2),TeamList[מס"ד],TeamList[מס'' הקבוצה]),"")</f>
        <v>1616</v>
      </c>
      <c r="G119" s="3">
        <f ca="1">IFERROR(_xlfn.XLOOKUP(OFFSET('תכנית לשופט זירה ראשי'!$R$4,6,3),TeamList[מס"ד],TeamList[מס'' הקבוצה]),"")</f>
        <v>3128</v>
      </c>
      <c r="H119" s="3" t="str">
        <f ca="1">IFERROR(_xlfn.XLOOKUP(OFFSET('תכנית לשופט זירה ראשי'!$R$4,6,4),TeamList[מס"ד],TeamList[מס'' הקבוצה]),"")</f>
        <v/>
      </c>
      <c r="I119" s="3" t="str">
        <f ca="1">IFERROR(_xlfn.XLOOKUP(OFFSET('תכנית לשופט זירה ראשי'!$R$4,6,5),TeamList[מס"ד],TeamList[מס'' הקבוצה]),"")</f>
        <v/>
      </c>
      <c r="J119" s="3" t="str">
        <f ca="1">IFERROR(_xlfn.XLOOKUP(OFFSET('תכנית לשופט זירה ראשי'!$R$4,6,6),TeamList[מס"ד],TeamList[מס'' הקבוצה]),"")</f>
        <v/>
      </c>
      <c r="K119" s="3" t="str">
        <f ca="1">IFERROR(_xlfn.XLOOKUP(OFFSET('תכנית לשופט זירה ראשי'!$R$4,6,7),TeamList[מס"ד],TeamList[מס'' הקבוצה]),"")</f>
        <v/>
      </c>
      <c r="L119" s="3" t="str">
        <f>IF('תכנית לשופט זירה ראשי'!Z10&gt;0,'תכנית לשופט זירה ראשי'!Z10,"")</f>
        <v/>
      </c>
    </row>
    <row r="120" spans="1:12" x14ac:dyDescent="0.65">
      <c r="A120">
        <v>8</v>
      </c>
      <c r="B120" s="32">
        <f t="shared" si="6"/>
        <v>0.39374999999999999</v>
      </c>
      <c r="C120" s="32">
        <f t="shared" si="7"/>
        <v>0.39583333333333331</v>
      </c>
      <c r="D120" s="3" t="str">
        <f ca="1">IFERROR(_xlfn.XLOOKUP(OFFSET('תכנית לשופט זירה ראשי'!$R$4,7,0),TeamList[מס"ד],TeamList[מס'' הקבוצה]),"")</f>
        <v/>
      </c>
      <c r="E120" s="3" t="str">
        <f ca="1">IFERROR(_xlfn.XLOOKUP(OFFSET('תכנית לשופט זירה ראשי'!$R$4,7,1),TeamList[מס"ד],TeamList[מס'' הקבוצה]),"")</f>
        <v/>
      </c>
      <c r="F120" s="3" t="str">
        <f ca="1">IFERROR(_xlfn.XLOOKUP(OFFSET('תכנית לשופט זירה ראשי'!$R$4,7,2),TeamList[מס"ד],TeamList[מס'' הקבוצה]),"")</f>
        <v/>
      </c>
      <c r="G120" s="3" t="str">
        <f ca="1">IFERROR(_xlfn.XLOOKUP(OFFSET('תכנית לשופט זירה ראשי'!$R$4,7,3),TeamList[מס"ד],TeamList[מס'' הקבוצה]),"")</f>
        <v/>
      </c>
      <c r="H120" s="3">
        <f ca="1">IFERROR(_xlfn.XLOOKUP(OFFSET('תכנית לשופט זירה ראשי'!$R$4,7,4),TeamList[מס"ד],TeamList[מס'' הקבוצה]),"")</f>
        <v>1697</v>
      </c>
      <c r="I120" s="3">
        <f ca="1">IFERROR(_xlfn.XLOOKUP(OFFSET('תכנית לשופט זירה ראשי'!$R$4,7,5),TeamList[מס"ד],TeamList[מס'' הקבוצה]),"")</f>
        <v>3182</v>
      </c>
      <c r="J120" s="3">
        <f ca="1">IFERROR(_xlfn.XLOOKUP(OFFSET('תכנית לשופט זירה ראשי'!$R$4,7,6),TeamList[מס"ד],TeamList[מס'' הקבוצה]),"")</f>
        <v>1214</v>
      </c>
      <c r="K120" s="3">
        <f ca="1">IFERROR(_xlfn.XLOOKUP(OFFSET('תכנית לשופט זירה ראשי'!$R$4,7,7),TeamList[מס"ד],TeamList[מס'' הקבוצה]),"")</f>
        <v>1099</v>
      </c>
      <c r="L120" s="3" t="str">
        <f>IF('תכנית לשופט זירה ראשי'!Z11&gt;0,'תכנית לשופט זירה ראשי'!Z11,"")</f>
        <v/>
      </c>
    </row>
    <row r="121" spans="1:12" x14ac:dyDescent="0.65">
      <c r="A121">
        <v>9</v>
      </c>
      <c r="B121" s="32">
        <f t="shared" si="6"/>
        <v>0.39791666666666664</v>
      </c>
      <c r="C121" s="32">
        <f t="shared" si="7"/>
        <v>0.39999999999999997</v>
      </c>
      <c r="D121" s="3">
        <f ca="1">IFERROR(_xlfn.XLOOKUP(OFFSET('תכנית לשופט זירה ראשי'!$R$4,8,0),TeamList[מס"ד],TeamList[מס'' הקבוצה]),"")</f>
        <v>3163</v>
      </c>
      <c r="E121" s="3">
        <f ca="1">IFERROR(_xlfn.XLOOKUP(OFFSET('תכנית לשופט זירה ראשי'!$R$4,8,1),TeamList[מס"ד],TeamList[מס'' הקבוצה]),"")</f>
        <v>3243</v>
      </c>
      <c r="F121" s="3">
        <f ca="1">IFERROR(_xlfn.XLOOKUP(OFFSET('תכנית לשופט זירה ראשי'!$R$4,8,2),TeamList[מס"ד],TeamList[מס'' הקבוצה]),"")</f>
        <v>3294</v>
      </c>
      <c r="G121" s="3">
        <f ca="1">IFERROR(_xlfn.XLOOKUP(OFFSET('תכנית לשופט זירה ראשי'!$R$4,8,3),TeamList[מס"ד],TeamList[מס'' הקבוצה]),"")</f>
        <v>3006</v>
      </c>
      <c r="H121" s="3" t="str">
        <f ca="1">IFERROR(_xlfn.XLOOKUP(OFFSET('תכנית לשופט זירה ראשי'!$R$4,8,4),TeamList[מס"ד],TeamList[מס'' הקבוצה]),"")</f>
        <v/>
      </c>
      <c r="I121" s="3" t="str">
        <f ca="1">IFERROR(_xlfn.XLOOKUP(OFFSET('תכנית לשופט זירה ראשי'!$R$4,8,5),TeamList[מס"ד],TeamList[מס'' הקבוצה]),"")</f>
        <v/>
      </c>
      <c r="J121" s="3" t="str">
        <f ca="1">IFERROR(_xlfn.XLOOKUP(OFFSET('תכנית לשופט זירה ראשי'!$R$4,8,6),TeamList[מס"ד],TeamList[מס'' הקבוצה]),"")</f>
        <v/>
      </c>
      <c r="K121" s="3" t="str">
        <f ca="1">IFERROR(_xlfn.XLOOKUP(OFFSET('תכנית לשופט זירה ראשי'!$R$4,8,7),TeamList[מס"ד],TeamList[מס'' הקבוצה]),"")</f>
        <v/>
      </c>
      <c r="L121" s="3" t="str">
        <f>IF('תכנית לשופט זירה ראשי'!Z12&gt;0,'תכנית לשופט זירה ראשי'!Z12,"")</f>
        <v/>
      </c>
    </row>
    <row r="122" spans="1:12" x14ac:dyDescent="0.65">
      <c r="A122">
        <v>10</v>
      </c>
      <c r="B122" s="32">
        <f t="shared" si="6"/>
        <v>0.40208333333333329</v>
      </c>
      <c r="C122" s="32">
        <f t="shared" si="7"/>
        <v>0.40416666666666662</v>
      </c>
      <c r="D122" s="3" t="str">
        <f ca="1">IFERROR(_xlfn.XLOOKUP(OFFSET('תכנית לשופט זירה ראשי'!$R$4,9,0),TeamList[מס"ד],TeamList[מס'' הקבוצה]),"")</f>
        <v/>
      </c>
      <c r="E122" s="3" t="str">
        <f ca="1">IFERROR(_xlfn.XLOOKUP(OFFSET('תכנית לשופט זירה ראשי'!$R$4,9,1),TeamList[מס"ד],TeamList[מס'' הקבוצה]),"")</f>
        <v/>
      </c>
      <c r="F122" s="3" t="str">
        <f ca="1">IFERROR(_xlfn.XLOOKUP(OFFSET('תכנית לשופט זירה ראשי'!$R$4,9,2),TeamList[מס"ד],TeamList[מס'' הקבוצה]),"")</f>
        <v/>
      </c>
      <c r="G122" s="3" t="str">
        <f ca="1">IFERROR(_xlfn.XLOOKUP(OFFSET('תכנית לשופט זירה ראשי'!$R$4,9,3),TeamList[מס"ד],TeamList[מס'' הקבוצה]),"")</f>
        <v/>
      </c>
      <c r="H122" s="3">
        <f ca="1">IFERROR(_xlfn.XLOOKUP(OFFSET('תכנית לשופט זירה ראשי'!$R$4,9,4),TeamList[מס"ד],TeamList[מס'' הקבוצה]),"")</f>
        <v>3180</v>
      </c>
      <c r="I122" s="3">
        <f ca="1">IFERROR(_xlfn.XLOOKUP(OFFSET('תכנית לשופט זירה ראשי'!$R$4,9,5),TeamList[מס"ד],TeamList[מס'' הקבוצה]),"")</f>
        <v>2954</v>
      </c>
      <c r="J122" s="3">
        <f ca="1">IFERROR(_xlfn.XLOOKUP(OFFSET('תכנית לשופט זירה ראשי'!$R$4,9,6),TeamList[מס"ד],TeamList[מס'' הקבוצה]),"")</f>
        <v>3184</v>
      </c>
      <c r="K122" s="3">
        <f ca="1">IFERROR(_xlfn.XLOOKUP(OFFSET('תכנית לשופט זירה ראשי'!$R$4,9,7),TeamList[מס"ד],TeamList[מס'' הקבוצה]),"")</f>
        <v>2130</v>
      </c>
      <c r="L122" s="3" t="str">
        <f>IF('תכנית לשופט זירה ראשי'!Z13&gt;0,'תכנית לשופט זירה ראשי'!Z13,"")</f>
        <v/>
      </c>
    </row>
    <row r="123" spans="1:12" x14ac:dyDescent="0.65">
      <c r="A123">
        <v>11</v>
      </c>
      <c r="B123" s="32">
        <f t="shared" si="6"/>
        <v>0.40625</v>
      </c>
      <c r="C123" s="32">
        <f t="shared" si="7"/>
        <v>0.40833333333333333</v>
      </c>
      <c r="D123" s="3">
        <f ca="1">IFERROR(_xlfn.XLOOKUP(OFFSET('תכנית לשופט זירה ראשי'!$R$4,10,0),TeamList[מס"ד],TeamList[מס'' הקבוצה]),"")</f>
        <v>1042</v>
      </c>
      <c r="E123" s="3">
        <f ca="1">IFERROR(_xlfn.XLOOKUP(OFFSET('תכנית לשופט זירה ראשי'!$R$4,10,1),TeamList[מס"ד],TeamList[מס'' הקבוצה]),"")</f>
        <v>2623</v>
      </c>
      <c r="F123" s="3">
        <f ca="1">IFERROR(_xlfn.XLOOKUP(OFFSET('תכנית לשופט זירה ראשי'!$R$4,10,2),TeamList[מס"ד],TeamList[מס'' הקבוצה]),"")</f>
        <v>2748</v>
      </c>
      <c r="G123" s="3">
        <f ca="1">IFERROR(_xlfn.XLOOKUP(OFFSET('תכנית לשופט זירה ראשי'!$R$4,10,3),TeamList[מס"ד],TeamList[מס'' הקבוצה]),"")</f>
        <v>2843</v>
      </c>
      <c r="H123" s="3" t="str">
        <f ca="1">IFERROR(_xlfn.XLOOKUP(OFFSET('תכנית לשופט זירה ראשי'!$R$4,10,4),TeamList[מס"ד],TeamList[מס'' הקבוצה]),"")</f>
        <v/>
      </c>
      <c r="I123" s="3" t="str">
        <f ca="1">IFERROR(_xlfn.XLOOKUP(OFFSET('תכנית לשופט זירה ראשי'!$R$4,10,5),TeamList[מס"ד],TeamList[מס'' הקבוצה]),"")</f>
        <v/>
      </c>
      <c r="J123" s="3" t="str">
        <f ca="1">IFERROR(_xlfn.XLOOKUP(OFFSET('תכנית לשופט זירה ראשי'!$R$4,10,6),TeamList[מס"ד],TeamList[מס'' הקבוצה]),"")</f>
        <v/>
      </c>
      <c r="K123" s="3" t="str">
        <f ca="1">IFERROR(_xlfn.XLOOKUP(OFFSET('תכנית לשופט זירה ראשי'!$R$4,10,7),TeamList[מס"ד],TeamList[מס'' הקבוצה]),"")</f>
        <v/>
      </c>
      <c r="L123" s="3" t="str">
        <f>IF('תכנית לשופט זירה ראשי'!Z14&gt;0,'תכנית לשופט זירה ראשי'!Z14,"")</f>
        <v/>
      </c>
    </row>
    <row r="124" spans="1:12" x14ac:dyDescent="0.65">
      <c r="A124">
        <v>12</v>
      </c>
      <c r="B124" s="32">
        <f>START+(A124-1)*PM</f>
        <v>0.41041666666666665</v>
      </c>
      <c r="C124" s="32">
        <f>B124+TIME(0,3,0)</f>
        <v>0.41249999999999998</v>
      </c>
      <c r="D124" s="3" t="str">
        <f ca="1">IFERROR(_xlfn.XLOOKUP(OFFSET('תכנית לשופט זירה ראשי'!$R$4,11,0),TeamList[מס"ד],TeamList[מס'' הקבוצה]),"")</f>
        <v/>
      </c>
      <c r="E124" s="3" t="str">
        <f ca="1">IFERROR(_xlfn.XLOOKUP(OFFSET('תכנית לשופט זירה ראשי'!$R$4,11,1),TeamList[מס"ד],TeamList[מס'' הקבוצה]),"")</f>
        <v/>
      </c>
      <c r="F124" s="3" t="str">
        <f ca="1">IFERROR(_xlfn.XLOOKUP(OFFSET('תכנית לשופט זירה ראשי'!$R$4,11,2),TeamList[מס"ד],TeamList[מס'' הקבוצה]),"")</f>
        <v/>
      </c>
      <c r="G124" s="3" t="str">
        <f ca="1">IFERROR(_xlfn.XLOOKUP(OFFSET('תכנית לשופט זירה ראשי'!$R$4,11,3),TeamList[מס"ד],TeamList[מס'' הקבוצה]),"")</f>
        <v/>
      </c>
      <c r="H124" s="3">
        <f ca="1">IFERROR(_xlfn.XLOOKUP(OFFSET('תכנית לשופט זירה ראשי'!$R$4,11,4),TeamList[מס"ד],TeamList[מס'' הקבוצה]),"")</f>
        <v>1825</v>
      </c>
      <c r="I124" s="3">
        <f ca="1">IFERROR(_xlfn.XLOOKUP(OFFSET('תכנית לשופט זירה ראשי'!$R$4,11,5),TeamList[מס"ד],TeamList[מס'' הקבוצה]),"")</f>
        <v>2977</v>
      </c>
      <c r="J124" s="3">
        <f ca="1">IFERROR(_xlfn.XLOOKUP(OFFSET('תכנית לשופט זירה ראשי'!$R$4,11,6),TeamList[מס"ד],TeamList[מס'' הקבוצה]),"")</f>
        <v>1332</v>
      </c>
      <c r="K124" s="3">
        <f ca="1">IFERROR(_xlfn.XLOOKUP(OFFSET('תכנית לשופט זירה ראשי'!$R$4,11,7),TeamList[מס"ד],TeamList[מס'' הקבוצה]),"")</f>
        <v>1720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C9633-9879-4D54-8291-619F75581887}">
  <sheetPr codeName="Sheet9"/>
  <dimension ref="A1:AB14"/>
  <sheetViews>
    <sheetView workbookViewId="0">
      <selection activeCell="K27" sqref="K27"/>
    </sheetView>
  </sheetViews>
  <sheetFormatPr defaultRowHeight="14.25" x14ac:dyDescent="0.65"/>
  <cols>
    <col min="1" max="1" width="9" customWidth="1"/>
    <col min="2" max="2" width="9.70703125" customWidth="1"/>
    <col min="3" max="15" width="10.70703125" customWidth="1"/>
    <col min="16" max="16" width="8.70703125" customWidth="1"/>
    <col min="17" max="17" width="10.70703125" customWidth="1"/>
    <col min="18" max="19" width="11.20703125" customWidth="1"/>
    <col min="20" max="20" width="9" customWidth="1"/>
    <col min="21" max="21" width="11.20703125" customWidth="1"/>
    <col min="22" max="22" width="12.08203125" customWidth="1"/>
    <col min="23" max="23" width="11.5" customWidth="1"/>
    <col min="24" max="24" width="10.7890625" customWidth="1"/>
    <col min="25" max="25" width="9.9140625" customWidth="1"/>
    <col min="26" max="27" width="10" customWidth="1"/>
  </cols>
  <sheetData>
    <row r="1" spans="1:28" s="6" customFormat="1" ht="56.4" customHeight="1" x14ac:dyDescent="0.65">
      <c r="A1" s="8" t="s">
        <v>81</v>
      </c>
      <c r="B1" s="8" t="s">
        <v>97</v>
      </c>
      <c r="C1" s="8" t="s">
        <v>82</v>
      </c>
      <c r="D1" s="8" t="s">
        <v>98</v>
      </c>
      <c r="E1" s="8" t="s">
        <v>182</v>
      </c>
      <c r="F1" s="8" t="s">
        <v>83</v>
      </c>
      <c r="G1" s="8" t="s">
        <v>84</v>
      </c>
      <c r="H1" s="8" t="s">
        <v>125</v>
      </c>
      <c r="I1" s="8" t="s">
        <v>85</v>
      </c>
      <c r="J1" s="8" t="s">
        <v>86</v>
      </c>
      <c r="K1" s="8" t="s">
        <v>126</v>
      </c>
      <c r="L1" s="8" t="s">
        <v>87</v>
      </c>
      <c r="M1" s="8" t="s">
        <v>88</v>
      </c>
      <c r="N1" s="8" t="s">
        <v>108</v>
      </c>
      <c r="O1" s="8" t="s">
        <v>89</v>
      </c>
      <c r="P1" s="8" t="s">
        <v>90</v>
      </c>
      <c r="Q1" s="8" t="s">
        <v>145</v>
      </c>
      <c r="R1" s="8" t="s">
        <v>123</v>
      </c>
      <c r="S1" s="8" t="s">
        <v>92</v>
      </c>
      <c r="T1" s="8" t="s">
        <v>102</v>
      </c>
      <c r="U1" s="8" t="s">
        <v>93</v>
      </c>
      <c r="V1" s="8" t="s">
        <v>94</v>
      </c>
      <c r="W1" s="8" t="s">
        <v>127</v>
      </c>
      <c r="X1" s="8" t="s">
        <v>103</v>
      </c>
      <c r="Y1" s="8" t="s">
        <v>104</v>
      </c>
      <c r="Z1" s="8" t="s">
        <v>128</v>
      </c>
      <c r="AA1" s="8" t="s">
        <v>105</v>
      </c>
      <c r="AB1" s="8" t="s">
        <v>107</v>
      </c>
    </row>
    <row r="2" spans="1:28" s="6" customFormat="1" x14ac:dyDescent="0.65">
      <c r="A2" s="49">
        <v>35</v>
      </c>
      <c r="B2" s="47">
        <v>9</v>
      </c>
      <c r="C2" s="48">
        <v>3.7499999999999999E-2</v>
      </c>
      <c r="D2" s="48">
        <v>3.125E-2</v>
      </c>
      <c r="E2" s="48">
        <v>0.41666666666666669</v>
      </c>
      <c r="F2" s="48">
        <v>0.375</v>
      </c>
      <c r="G2" s="48">
        <v>0.41249999999999998</v>
      </c>
      <c r="H2" s="48">
        <v>3.1944444444444449E-2</v>
      </c>
      <c r="I2" s="48">
        <v>0.44444444444444442</v>
      </c>
      <c r="J2" s="48">
        <v>0.47569444444444442</v>
      </c>
      <c r="K2" s="48">
        <v>3.4722222222222224E-2</v>
      </c>
      <c r="L2" s="48">
        <v>0.51041666666666663</v>
      </c>
      <c r="M2" s="48">
        <v>0.54166666666666663</v>
      </c>
      <c r="N2" s="48">
        <v>3.4722222222222224E-2</v>
      </c>
      <c r="O2" s="48">
        <v>0.57638888888888884</v>
      </c>
      <c r="P2" s="48">
        <v>0.60763888888888884</v>
      </c>
      <c r="Q2" s="48">
        <v>0.62847222222222221</v>
      </c>
      <c r="R2" s="48">
        <v>0.65972222222222221</v>
      </c>
      <c r="S2" s="50">
        <v>6</v>
      </c>
      <c r="T2" s="48">
        <v>3.125E-2</v>
      </c>
      <c r="U2" s="50">
        <v>6</v>
      </c>
      <c r="V2" s="48">
        <v>0.59374999999999989</v>
      </c>
      <c r="W2" s="48">
        <v>1.0416666666666666E-2</v>
      </c>
      <c r="X2" s="48">
        <v>4.1666666666666664E-2</v>
      </c>
      <c r="Y2" s="48">
        <v>2.0833333333333332E-2</v>
      </c>
      <c r="Z2" s="48">
        <v>1.0416666666666666E-2</v>
      </c>
      <c r="AA2" s="48">
        <v>0.67708333333333315</v>
      </c>
      <c r="AB2" s="48">
        <v>0.70833333333333315</v>
      </c>
    </row>
    <row r="3" spans="1:28" x14ac:dyDescent="0.65">
      <c r="A3" s="211">
        <v>36</v>
      </c>
      <c r="B3" s="212">
        <v>9</v>
      </c>
      <c r="C3" s="213">
        <v>3.7499999999999999E-2</v>
      </c>
      <c r="D3" s="213">
        <v>3.125E-2</v>
      </c>
      <c r="E3" s="213">
        <v>0.41666666666666669</v>
      </c>
      <c r="F3" s="213">
        <v>0.375</v>
      </c>
      <c r="G3" s="213">
        <v>0.41249999999999998</v>
      </c>
      <c r="H3" s="213">
        <v>3.1944444444444449E-2</v>
      </c>
      <c r="I3" s="213">
        <v>0.44444444444444442</v>
      </c>
      <c r="J3" s="213">
        <v>0.47569444444444442</v>
      </c>
      <c r="K3" s="213">
        <v>3.4722222222222224E-2</v>
      </c>
      <c r="L3" s="213">
        <v>0.51041666666666663</v>
      </c>
      <c r="M3" s="213">
        <v>0.54166666666666663</v>
      </c>
      <c r="N3" s="213">
        <v>3.4722222222222224E-2</v>
      </c>
      <c r="O3" s="213">
        <v>0.57638888888888884</v>
      </c>
      <c r="P3" s="213">
        <v>0.60763888888888884</v>
      </c>
      <c r="Q3" s="213">
        <v>0.62847222222222221</v>
      </c>
      <c r="R3" s="213">
        <v>0.65972222222222221</v>
      </c>
      <c r="S3" s="214">
        <v>6</v>
      </c>
      <c r="T3" s="213">
        <v>3.125E-2</v>
      </c>
      <c r="U3" s="214">
        <v>6</v>
      </c>
      <c r="V3" s="213">
        <v>0.59374999999999989</v>
      </c>
      <c r="W3" s="213">
        <v>1.0416666666666666E-2</v>
      </c>
      <c r="X3" s="213">
        <v>4.1666666666666664E-2</v>
      </c>
      <c r="Y3" s="213">
        <v>2.0833333333333332E-2</v>
      </c>
      <c r="Z3" s="213">
        <v>1.0416666666666666E-2</v>
      </c>
      <c r="AA3" s="213">
        <v>0.67708333333333315</v>
      </c>
      <c r="AB3" s="213">
        <v>0.70833333333333315</v>
      </c>
    </row>
    <row r="4" spans="1:28" x14ac:dyDescent="0.65">
      <c r="A4" s="211">
        <v>43</v>
      </c>
      <c r="B4" s="212">
        <v>11</v>
      </c>
      <c r="C4" s="213">
        <v>4.583333333333333E-2</v>
      </c>
      <c r="D4" s="213">
        <v>3.8194444444444441E-2</v>
      </c>
      <c r="E4" s="213">
        <v>0.41666666666666669</v>
      </c>
      <c r="F4" s="213">
        <v>0.36458333333333331</v>
      </c>
      <c r="G4" s="213">
        <v>0.41041666666666665</v>
      </c>
      <c r="H4" s="213">
        <v>3.0555555555555555E-2</v>
      </c>
      <c r="I4" s="213">
        <v>0.44097222222222221</v>
      </c>
      <c r="J4" s="213">
        <v>0.47916666666666663</v>
      </c>
      <c r="K4" s="213">
        <v>3.4722222222222224E-2</v>
      </c>
      <c r="L4" s="213">
        <v>0.51388888888888884</v>
      </c>
      <c r="M4" s="213">
        <v>0.55208333333333326</v>
      </c>
      <c r="N4" s="213">
        <v>3.8194444444444441E-2</v>
      </c>
      <c r="O4" s="213">
        <v>0.59027777777777768</v>
      </c>
      <c r="P4" s="213">
        <v>0.6284722222222221</v>
      </c>
      <c r="Q4" s="213">
        <v>0.66666666666666663</v>
      </c>
      <c r="R4" s="213">
        <v>0.67708333333333337</v>
      </c>
      <c r="S4" s="214">
        <v>7</v>
      </c>
      <c r="T4" s="213">
        <v>3.125E-2</v>
      </c>
      <c r="U4" s="214">
        <v>7</v>
      </c>
      <c r="V4" s="213">
        <v>0.62499999999999989</v>
      </c>
      <c r="W4" s="213">
        <v>1.0416666666666666E-2</v>
      </c>
      <c r="X4" s="213">
        <v>4.1666666666666664E-2</v>
      </c>
      <c r="Y4" s="213">
        <v>2.0833333333333332E-2</v>
      </c>
      <c r="Z4" s="213">
        <v>1.0416666666666666E-2</v>
      </c>
      <c r="AA4" s="213">
        <v>0.70833333333333315</v>
      </c>
      <c r="AB4" s="213">
        <v>0.73958333333333315</v>
      </c>
    </row>
    <row r="5" spans="1:28" x14ac:dyDescent="0.65">
      <c r="A5" s="211">
        <v>44</v>
      </c>
      <c r="B5" s="212">
        <v>11</v>
      </c>
      <c r="C5" s="213">
        <v>4.583333333333333E-2</v>
      </c>
      <c r="D5" s="213">
        <v>3.8194444444444441E-2</v>
      </c>
      <c r="E5" s="213">
        <v>0.41666666666666669</v>
      </c>
      <c r="F5" s="213">
        <v>0.36458333333333331</v>
      </c>
      <c r="G5" s="213">
        <v>0.41041666666666665</v>
      </c>
      <c r="H5" s="213">
        <v>3.0555555555555555E-2</v>
      </c>
      <c r="I5" s="213">
        <v>0.44097222222222221</v>
      </c>
      <c r="J5" s="213">
        <v>0.47916666666666663</v>
      </c>
      <c r="K5" s="213">
        <v>3.4722222222222224E-2</v>
      </c>
      <c r="L5" s="213">
        <v>0.51388888888888884</v>
      </c>
      <c r="M5" s="213">
        <v>0.55208333333333326</v>
      </c>
      <c r="N5" s="213">
        <v>3.8194444444444441E-2</v>
      </c>
      <c r="O5" s="213">
        <v>0.59027777777777768</v>
      </c>
      <c r="P5" s="213">
        <v>0.6284722222222221</v>
      </c>
      <c r="Q5" s="213">
        <v>0.66666666666666663</v>
      </c>
      <c r="R5" s="213">
        <v>0.67708333333333337</v>
      </c>
      <c r="S5" s="214">
        <v>7</v>
      </c>
      <c r="T5" s="213">
        <v>3.125E-2</v>
      </c>
      <c r="U5" s="214">
        <v>7</v>
      </c>
      <c r="V5" s="213">
        <v>0.62499999999999989</v>
      </c>
      <c r="W5" s="213">
        <v>1.0416666666666666E-2</v>
      </c>
      <c r="X5" s="213">
        <v>4.1666666666666664E-2</v>
      </c>
      <c r="Y5" s="213">
        <v>2.0833333333333332E-2</v>
      </c>
      <c r="Z5" s="213">
        <v>1.0416666666666666E-2</v>
      </c>
      <c r="AA5" s="213">
        <v>0.70833333333333315</v>
      </c>
      <c r="AB5" s="213">
        <v>0.73958333333333315</v>
      </c>
    </row>
    <row r="6" spans="1:28" x14ac:dyDescent="0.65">
      <c r="A6" s="211">
        <v>45</v>
      </c>
      <c r="B6" s="212">
        <v>12</v>
      </c>
      <c r="C6" s="213">
        <v>0.05</v>
      </c>
      <c r="D6" s="213">
        <v>4.1666666666666664E-2</v>
      </c>
      <c r="E6" s="213">
        <v>0.41666666666666669</v>
      </c>
      <c r="F6" s="213">
        <v>0.36458333333333331</v>
      </c>
      <c r="G6" s="213">
        <v>0.4145833333333333</v>
      </c>
      <c r="H6" s="213">
        <v>2.6388888888888889E-2</v>
      </c>
      <c r="I6" s="213">
        <v>0.44097222222222221</v>
      </c>
      <c r="J6" s="213">
        <v>0.4826388888888889</v>
      </c>
      <c r="K6" s="213">
        <v>3.125E-2</v>
      </c>
      <c r="L6" s="213">
        <v>0.51388888888888884</v>
      </c>
      <c r="M6" s="213">
        <v>0.55555555555555547</v>
      </c>
      <c r="N6" s="213">
        <v>3.4722222222222224E-2</v>
      </c>
      <c r="O6" s="213">
        <v>0.59027777777777768</v>
      </c>
      <c r="P6" s="213">
        <v>0.63194444444444431</v>
      </c>
      <c r="Q6" s="213">
        <v>0.66666666666666663</v>
      </c>
      <c r="R6" s="213">
        <v>0.69444444444444453</v>
      </c>
      <c r="S6" s="214">
        <v>7</v>
      </c>
      <c r="T6" s="213">
        <v>3.125E-2</v>
      </c>
      <c r="U6" s="214">
        <v>7</v>
      </c>
      <c r="V6" s="213">
        <v>0.62499999999999989</v>
      </c>
      <c r="W6" s="213">
        <v>1.0416666666666666E-2</v>
      </c>
      <c r="X6" s="213">
        <v>4.1666666666666664E-2</v>
      </c>
      <c r="Y6" s="213">
        <v>2.0833333333333332E-2</v>
      </c>
      <c r="Z6" s="213">
        <v>1.0416666666666666E-2</v>
      </c>
      <c r="AA6" s="213">
        <v>0.70833333333333315</v>
      </c>
      <c r="AB6" s="213">
        <v>0.73958333333333315</v>
      </c>
    </row>
    <row r="7" spans="1:28" x14ac:dyDescent="0.65">
      <c r="A7" s="211">
        <v>46</v>
      </c>
      <c r="B7" s="212">
        <v>12</v>
      </c>
      <c r="C7" s="213">
        <v>0.05</v>
      </c>
      <c r="D7" s="213">
        <v>4.1666666666666664E-2</v>
      </c>
      <c r="E7" s="213">
        <v>0.41666666666666669</v>
      </c>
      <c r="F7" s="213">
        <v>0.36458333333333331</v>
      </c>
      <c r="G7" s="213">
        <v>0.4145833333333333</v>
      </c>
      <c r="H7" s="213">
        <v>2.6388888888888889E-2</v>
      </c>
      <c r="I7" s="213">
        <v>0.44097222222222221</v>
      </c>
      <c r="J7" s="213">
        <v>0.4826388888888889</v>
      </c>
      <c r="K7" s="213">
        <v>3.125E-2</v>
      </c>
      <c r="L7" s="213">
        <v>0.51388888888888884</v>
      </c>
      <c r="M7" s="213">
        <v>0.55555555555555547</v>
      </c>
      <c r="N7" s="213">
        <v>3.4722222222222224E-2</v>
      </c>
      <c r="O7" s="213">
        <v>0.59027777777777768</v>
      </c>
      <c r="P7" s="213">
        <v>0.63194444444444431</v>
      </c>
      <c r="Q7" s="213">
        <v>0.66666666666666663</v>
      </c>
      <c r="R7" s="213">
        <v>0.69444444444444453</v>
      </c>
      <c r="S7" s="214">
        <v>7</v>
      </c>
      <c r="T7" s="213">
        <v>3.125E-2</v>
      </c>
      <c r="U7" s="214">
        <v>7</v>
      </c>
      <c r="V7" s="213">
        <v>0.62499999999999989</v>
      </c>
      <c r="W7" s="213">
        <v>1.0416666666666666E-2</v>
      </c>
      <c r="X7" s="213">
        <v>4.1666666666666664E-2</v>
      </c>
      <c r="Y7" s="213">
        <v>2.0833333333333332E-2</v>
      </c>
      <c r="Z7" s="213">
        <v>1.0416666666666666E-2</v>
      </c>
      <c r="AA7" s="213">
        <v>0.70833333333333315</v>
      </c>
      <c r="AB7" s="213">
        <v>0.73958333333333315</v>
      </c>
    </row>
    <row r="8" spans="1:28" x14ac:dyDescent="0.65">
      <c r="A8" s="211">
        <v>47</v>
      </c>
      <c r="B8" s="212">
        <v>12</v>
      </c>
      <c r="C8" s="213">
        <v>0.05</v>
      </c>
      <c r="D8" s="213">
        <v>4.1666666666666664E-2</v>
      </c>
      <c r="E8" s="213">
        <v>0.41666666666666669</v>
      </c>
      <c r="F8" s="213">
        <v>0.36458333333333331</v>
      </c>
      <c r="G8" s="213">
        <v>0.4145833333333333</v>
      </c>
      <c r="H8" s="213">
        <v>2.6388888888888889E-2</v>
      </c>
      <c r="I8" s="213">
        <v>0.44097222222222221</v>
      </c>
      <c r="J8" s="213">
        <v>0.4826388888888889</v>
      </c>
      <c r="K8" s="213">
        <v>3.125E-2</v>
      </c>
      <c r="L8" s="213">
        <v>0.51388888888888884</v>
      </c>
      <c r="M8" s="213">
        <v>0.55555555555555547</v>
      </c>
      <c r="N8" s="213">
        <v>3.4722222222222224E-2</v>
      </c>
      <c r="O8" s="213">
        <v>0.59027777777777768</v>
      </c>
      <c r="P8" s="213">
        <v>0.63194444444444431</v>
      </c>
      <c r="Q8" s="213">
        <v>0.66666666666666663</v>
      </c>
      <c r="R8" s="213">
        <v>0.69444444444444453</v>
      </c>
      <c r="S8" s="214">
        <v>7</v>
      </c>
      <c r="T8" s="213">
        <v>3.125E-2</v>
      </c>
      <c r="U8" s="214">
        <v>7</v>
      </c>
      <c r="V8" s="213">
        <v>0.62499999999999989</v>
      </c>
      <c r="W8" s="213">
        <v>1.0416666666666666E-2</v>
      </c>
      <c r="X8" s="213">
        <v>4.1666666666666664E-2</v>
      </c>
      <c r="Y8" s="213">
        <v>2.0833333333333332E-2</v>
      </c>
      <c r="Z8" s="213">
        <v>1.0416666666666666E-2</v>
      </c>
      <c r="AA8" s="213">
        <v>0.70833333333333315</v>
      </c>
      <c r="AB8" s="213">
        <v>0.73958333333333315</v>
      </c>
    </row>
    <row r="9" spans="1:28" x14ac:dyDescent="0.65">
      <c r="A9" s="211">
        <v>48</v>
      </c>
      <c r="B9" s="212">
        <v>12</v>
      </c>
      <c r="C9" s="213">
        <v>0.05</v>
      </c>
      <c r="D9" s="213">
        <v>4.1666666666666664E-2</v>
      </c>
      <c r="E9" s="213">
        <v>0.41666666666666669</v>
      </c>
      <c r="F9" s="213">
        <v>0.36458333333333331</v>
      </c>
      <c r="G9" s="213">
        <v>0.4145833333333333</v>
      </c>
      <c r="H9" s="213">
        <v>2.6388888888888889E-2</v>
      </c>
      <c r="I9" s="213">
        <v>0.44097222222222221</v>
      </c>
      <c r="J9" s="213">
        <v>0.4826388888888889</v>
      </c>
      <c r="K9" s="213">
        <v>3.125E-2</v>
      </c>
      <c r="L9" s="213">
        <v>0.51388888888888884</v>
      </c>
      <c r="M9" s="213">
        <v>0.55555555555555547</v>
      </c>
      <c r="N9" s="213">
        <v>3.4722222222222224E-2</v>
      </c>
      <c r="O9" s="213">
        <v>0.59027777777777768</v>
      </c>
      <c r="P9" s="213">
        <v>0.63194444444444431</v>
      </c>
      <c r="Q9" s="213">
        <v>0.66666666666666663</v>
      </c>
      <c r="R9" s="213">
        <v>0.69444444444444453</v>
      </c>
      <c r="S9" s="214">
        <v>7</v>
      </c>
      <c r="T9" s="213">
        <v>3.125E-2</v>
      </c>
      <c r="U9" s="214">
        <v>7</v>
      </c>
      <c r="V9" s="213">
        <v>0.62499999999999989</v>
      </c>
      <c r="W9" s="213">
        <v>1.0416666666666666E-2</v>
      </c>
      <c r="X9" s="213">
        <v>4.1666666666666664E-2</v>
      </c>
      <c r="Y9" s="213">
        <v>2.0833333333333332E-2</v>
      </c>
      <c r="Z9" s="213">
        <v>1.0416666666666666E-2</v>
      </c>
      <c r="AA9" s="213">
        <v>0.70833333333333315</v>
      </c>
      <c r="AB9" s="213">
        <v>0.73958333333333315</v>
      </c>
    </row>
    <row r="10" spans="1:28" x14ac:dyDescent="0.65">
      <c r="A10" s="37" t="s">
        <v>110</v>
      </c>
      <c r="B10" s="1"/>
      <c r="C10" s="32">
        <v>0.36458333333333331</v>
      </c>
    </row>
    <row r="11" spans="1:28" x14ac:dyDescent="0.65">
      <c r="A11" s="4" t="s">
        <v>80</v>
      </c>
      <c r="B11" s="1"/>
      <c r="C11" s="32">
        <v>4.1666666666666666E-3</v>
      </c>
    </row>
    <row r="12" spans="1:28" x14ac:dyDescent="0.65">
      <c r="A12" s="4" t="s">
        <v>99</v>
      </c>
      <c r="B12" s="1"/>
      <c r="C12" s="32">
        <v>3.472222222222222E-3</v>
      </c>
    </row>
    <row r="13" spans="1:28" x14ac:dyDescent="0.65">
      <c r="A13" s="4" t="s">
        <v>91</v>
      </c>
      <c r="B13" s="1"/>
      <c r="C13" s="32">
        <v>3.125E-2</v>
      </c>
    </row>
    <row r="14" spans="1:28" x14ac:dyDescent="0.65">
      <c r="A14" s="4" t="s">
        <v>129</v>
      </c>
      <c r="C14" s="32">
        <v>1.0416666666666666E-2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62371-73AF-45F8-A67A-509C0CF2504B}">
  <sheetPr codeName="Sheet5"/>
  <dimension ref="A1"/>
  <sheetViews>
    <sheetView rightToLeft="1" workbookViewId="0"/>
  </sheetViews>
  <sheetFormatPr defaultRowHeight="14.25" x14ac:dyDescent="0.6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37</vt:i4>
      </vt:variant>
    </vt:vector>
  </HeadingPairs>
  <TitlesOfParts>
    <vt:vector size="48" baseType="lpstr">
      <vt:lpstr>רשימת הקבוצות</vt:lpstr>
      <vt:lpstr>רשימת קבוצות בית שני</vt:lpstr>
      <vt:lpstr>תכנית לשופט זירה ראשי</vt:lpstr>
      <vt:lpstr>תכנית למתזמני זירה</vt:lpstr>
      <vt:lpstr>תכנית טורניר ידידות</vt:lpstr>
      <vt:lpstr>תכנית חדרי שיפוט</vt:lpstr>
      <vt:lpstr>תכנית לפי קבוצות</vt:lpstr>
      <vt:lpstr>לוז קבוצות</vt:lpstr>
      <vt:lpstr>CSV Export</vt:lpstr>
      <vt:lpstr>תכנון הפסקות</vt:lpstr>
      <vt:lpstr>   </vt:lpstr>
      <vt:lpstr>coffee_break</vt:lpstr>
      <vt:lpstr>color</vt:lpstr>
      <vt:lpstr>Dates</vt:lpstr>
      <vt:lpstr>JB</vt:lpstr>
      <vt:lpstr>JL</vt:lpstr>
      <vt:lpstr>JR</vt:lpstr>
      <vt:lpstr>JS</vt:lpstr>
      <vt:lpstr>N</vt:lpstr>
      <vt:lpstr>Official_round</vt:lpstr>
      <vt:lpstr>Opening</vt:lpstr>
      <vt:lpstr>ORM</vt:lpstr>
      <vt:lpstr>panel</vt:lpstr>
      <vt:lpstr>pits</vt:lpstr>
      <vt:lpstr>PM</vt:lpstr>
      <vt:lpstr>'לוז קבוצות'!Print_Area</vt:lpstr>
      <vt:lpstr>'רשימת הקבוצות'!Print_Area</vt:lpstr>
      <vt:lpstr>'תכנית חדרי שיפוט'!Print_Area</vt:lpstr>
      <vt:lpstr>'תכנית טורניר ידידות'!Print_Area</vt:lpstr>
      <vt:lpstr>'תכנית למתזמני זירה'!Print_Area</vt:lpstr>
      <vt:lpstr>'תכנית לפי קבוצות'!Print_Area</vt:lpstr>
      <vt:lpstr>'תכנית לשופט זירה ראשי'!Print_Area</vt:lpstr>
      <vt:lpstr>'רשימת הקבוצות'!Print_Titles</vt:lpstr>
      <vt:lpstr>RM</vt:lpstr>
      <vt:lpstr>ROOMS</vt:lpstr>
      <vt:lpstr>Serial_Number</vt:lpstr>
      <vt:lpstr>START</vt:lpstr>
      <vt:lpstr>start_judging</vt:lpstr>
      <vt:lpstr>start_round_I</vt:lpstr>
      <vt:lpstr>start_round_II</vt:lpstr>
      <vt:lpstr>start_round_III</vt:lpstr>
      <vt:lpstr>start_round_IV</vt:lpstr>
      <vt:lpstr>Tables</vt:lpstr>
      <vt:lpstr>tolerance</vt:lpstr>
      <vt:lpstr>tournament</vt:lpstr>
      <vt:lpstr>מסיבוטיקה</vt:lpstr>
      <vt:lpstr>סיום</vt:lpstr>
      <vt:lpstr>פרויקטים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Janek</dc:creator>
  <cp:lastModifiedBy>Jan Bielas</cp:lastModifiedBy>
  <cp:lastPrinted>2023-01-31T06:21:46Z</cp:lastPrinted>
  <dcterms:created xsi:type="dcterms:W3CDTF">2018-11-27T10:32:02Z</dcterms:created>
  <dcterms:modified xsi:type="dcterms:W3CDTF">2023-02-07T06:10:16Z</dcterms:modified>
</cp:coreProperties>
</file>